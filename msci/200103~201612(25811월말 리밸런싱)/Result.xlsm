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esults" sheetId="2" r:id="rId1"/>
    <sheet name="KOSPI_TRD" sheetId="3" r:id="rId2"/>
    <sheet name="KOSPI_FWD" sheetId="4" r:id="rId3"/>
    <sheet name="KOSPI+KOSDAQ_TRD" sheetId="5" r:id="rId4"/>
    <sheet name="KOSPI+KOSDAQ_FWD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E15" i="2" l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14" i="2"/>
  <c r="AE13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Z38" i="2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AC37" i="2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7" i="2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7" i="2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Z37" i="2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B36" i="2"/>
  <c r="AA36" i="2"/>
  <c r="Z36" i="2"/>
  <c r="Y36" i="2"/>
  <c r="X36" i="2"/>
  <c r="W36" i="2"/>
  <c r="Q16" i="2" l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U15" i="2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V14" i="2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4" i="2"/>
  <c r="S14" i="2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U13" i="2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<sst xmlns="http://schemas.openxmlformats.org/spreadsheetml/2006/main" count="30824" uniqueCount="661">
  <si>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</si>
  <si>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</si>
  <si>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</si>
  <si>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</si>
  <si>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</si>
  <si>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</si>
  <si>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</si>
  <si>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</si>
  <si>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</si>
  <si>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</si>
  <si>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</si>
  <si>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</si>
  <si>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</si>
  <si>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</si>
  <si>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</si>
  <si>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</si>
  <si>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</si>
  <si>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</si>
  <si>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</si>
  <si>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</si>
  <si>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</si>
  <si>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</si>
  <si>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</si>
  <si>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</si>
  <si>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</si>
  <si>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</si>
  <si>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</si>
  <si>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</si>
  <si>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</si>
  <si>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</si>
  <si>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</si>
  <si>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</si>
  <si>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</si>
  <si>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</si>
  <si>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</si>
  <si>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</si>
  <si>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</si>
  <si>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</si>
  <si>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</si>
  <si>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</si>
  <si>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</si>
  <si>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</si>
  <si>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</si>
  <si>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</si>
  <si>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</si>
  <si>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</si>
  <si>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</si>
  <si>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</si>
  <si>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</si>
  <si>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</si>
  <si>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</si>
  <si>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</si>
  <si>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</si>
  <si>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</si>
  <si>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</si>
  <si>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</si>
  <si>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</si>
  <si>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</si>
  <si>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</si>
  <si>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</si>
  <si>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</si>
  <si>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</si>
  <si>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</si>
  <si>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</si>
  <si>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</si>
  <si>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</si>
  <si>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</si>
  <si>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</si>
  <si>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</si>
  <si>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</si>
  <si>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</si>
  <si>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</si>
  <si>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</si>
  <si>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</si>
  <si>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</si>
  <si>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</si>
  <si>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</si>
  <si>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</si>
  <si>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</si>
  <si>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</si>
  <si>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</si>
  <si>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</si>
  <si>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</si>
  <si>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</si>
  <si>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</si>
  <si>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</si>
  <si>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</si>
  <si>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</si>
  <si>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</si>
  <si>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</si>
  <si>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</si>
  <si>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</si>
  <si>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</si>
  <si>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</si>
  <si>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</si>
  <si>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</si>
  <si>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</si>
  <si>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</si>
  <si>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</si>
  <si>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</si>
  <si>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</si>
  <si>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</si>
  <si>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</si>
  <si>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</si>
  <si>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</si>
  <si>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</si>
  <si>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</si>
  <si>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</si>
  <si>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</si>
  <si>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</si>
  <si>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</si>
  <si>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</si>
  <si>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</si>
  <si>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</si>
  <si>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</si>
  <si>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</si>
  <si>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</si>
  <si>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</si>
  <si>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</si>
  <si>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</si>
  <si>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</si>
  <si>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</si>
  <si>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</si>
  <si>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</si>
  <si>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</si>
  <si>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</si>
  <si>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</si>
  <si>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</si>
  <si>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</si>
  <si>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</si>
  <si>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</si>
  <si>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</si>
  <si>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</si>
  <si>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</si>
  <si>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</si>
  <si>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</si>
  <si>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</si>
  <si>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</si>
  <si>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</si>
  <si>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</si>
  <si>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</si>
  <si>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</si>
  <si>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</si>
  <si>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</si>
  <si>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</si>
  <si>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</si>
  <si>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</si>
  <si>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</si>
  <si>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</si>
  <si>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</si>
  <si>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</si>
  <si>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</si>
  <si>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</si>
  <si>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</si>
  <si>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</si>
  <si>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</si>
  <si>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</si>
  <si>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</si>
  <si>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</si>
  <si>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</si>
  <si>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</si>
  <si>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</si>
  <si>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</si>
  <si>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</si>
  <si>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</si>
  <si>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</si>
  <si>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</si>
  <si>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</si>
  <si>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</si>
  <si>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</si>
  <si>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</si>
  <si>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</si>
  <si>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</si>
  <si>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</si>
  <si>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</si>
  <si>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</si>
  <si>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</si>
  <si>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</si>
  <si>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</si>
  <si>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</si>
  <si>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</si>
  <si>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</si>
  <si>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</si>
  <si>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</si>
  <si>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</si>
  <si>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</si>
  <si>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</si>
  <si>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</si>
  <si>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</si>
  <si>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</si>
  <si>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</si>
  <si>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</si>
  <si>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</si>
  <si>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</si>
  <si>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</si>
  <si>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</si>
  <si>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</si>
  <si>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</si>
  <si>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</si>
  <si>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</si>
  <si>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</si>
  <si>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</si>
  <si>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</si>
  <si>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</si>
  <si>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</si>
  <si>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</si>
  <si>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</si>
  <si>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</si>
  <si>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</si>
  <si>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</si>
  <si>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</si>
  <si>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</si>
  <si>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</si>
  <si>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</si>
  <si>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</si>
  <si>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</si>
  <si>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</si>
  <si>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</si>
  <si>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</si>
  <si>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</si>
  <si>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</si>
  <si>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</si>
  <si>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</si>
  <si>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</si>
  <si>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</si>
  <si>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</si>
  <si>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</si>
  <si>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</si>
  <si>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</si>
  <si>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</si>
  <si>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</si>
  <si>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</si>
  <si>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</si>
  <si>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</si>
  <si>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</si>
  <si>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</si>
  <si>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</si>
  <si>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</si>
  <si>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</si>
  <si>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</si>
  <si>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</si>
  <si>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</si>
  <si>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</si>
  <si>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</si>
  <si>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</si>
  <si>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</si>
  <si>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</si>
  <si>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</si>
  <si>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</si>
  <si>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</si>
  <si>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</si>
  <si>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</si>
  <si>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</si>
  <si>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</si>
  <si>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</si>
  <si>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</si>
  <si>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</si>
  <si>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</si>
  <si>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</si>
  <si>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</si>
  <si>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</si>
  <si>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</si>
  <si>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</si>
  <si>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</si>
  <si>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</si>
  <si>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</si>
  <si>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</si>
  <si>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</si>
  <si>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</si>
  <si>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</si>
  <si>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</si>
  <si>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</si>
  <si>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</si>
  <si>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</si>
  <si>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</si>
  <si>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</si>
  <si>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</si>
  <si>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</si>
  <si>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</si>
  <si>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</si>
  <si>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</si>
  <si>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</si>
  <si>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</si>
  <si>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</si>
  <si>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</si>
  <si>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</si>
  <si>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</si>
  <si>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</si>
  <si>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</si>
  <si>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</si>
  <si>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</si>
  <si>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</si>
  <si>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</si>
  <si>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</si>
  <si>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</si>
  <si>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</si>
  <si>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</si>
  <si>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</si>
  <si>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</si>
  <si>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</si>
  <si>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</si>
  <si>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</si>
  <si>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</si>
  <si>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</si>
  <si>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</si>
  <si>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</si>
  <si>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</si>
  <si>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</si>
  <si>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</si>
  <si>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</si>
  <si>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</si>
  <si>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</si>
  <si>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</si>
  <si>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</si>
  <si>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</si>
  <si>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</si>
  <si>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</si>
  <si>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</si>
  <si>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</si>
  <si>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</si>
  <si>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</si>
  <si>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</si>
  <si>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</si>
  <si>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</si>
  <si>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</si>
  <si>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</si>
  <si>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</si>
  <si>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</si>
  <si>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</si>
  <si>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</si>
  <si>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</si>
  <si>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</si>
  <si>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</si>
  <si>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</si>
  <si>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</si>
  <si>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</si>
  <si>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</si>
  <si>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</si>
  <si>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</si>
  <si>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</si>
  <si>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</si>
  <si>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</si>
  <si>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</si>
  <si>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</si>
  <si>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</si>
  <si>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</si>
  <si>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</si>
  <si>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</si>
  <si>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</si>
  <si>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</si>
  <si>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</si>
  <si>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</si>
  <si>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</si>
  <si>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</si>
  <si>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</si>
  <si>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</si>
  <si>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</si>
  <si>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</si>
  <si>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</si>
  <si>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</si>
  <si>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</si>
  <si>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</si>
  <si>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</si>
  <si>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</si>
  <si>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</si>
  <si>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</si>
  <si>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</si>
  <si>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</si>
  <si>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</si>
  <si>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</si>
  <si>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</si>
  <si>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</si>
  <si>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</si>
  <si>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</si>
  <si>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</si>
  <si>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</si>
  <si>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</si>
  <si>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</si>
  <si>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</si>
  <si>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</si>
  <si>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</si>
  <si>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</si>
  <si>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</si>
  <si>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</si>
  <si>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</si>
  <si>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</si>
  <si>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</si>
  <si>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</si>
  <si>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</si>
  <si>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</si>
  <si>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</si>
  <si>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</si>
  <si>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</si>
  <si>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</si>
  <si>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</si>
  <si>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</si>
  <si>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</si>
  <si>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</si>
  <si>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</si>
  <si>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</si>
  <si>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</si>
  <si>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</si>
  <si>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</si>
  <si>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</si>
  <si>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</si>
  <si>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</si>
  <si>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</si>
  <si>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</si>
  <si>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</si>
  <si>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</si>
  <si>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</si>
  <si>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</si>
  <si>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</si>
  <si>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</si>
  <si>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</si>
  <si>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</si>
  <si>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</si>
  <si>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</si>
  <si>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</si>
  <si>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</si>
  <si>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</si>
  <si>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</si>
  <si>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</si>
  <si>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</si>
  <si>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</si>
  <si>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</si>
  <si>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</si>
  <si>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</si>
  <si>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</si>
  <si>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</si>
  <si>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</si>
  <si>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</si>
  <si>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</si>
  <si>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</si>
  <si>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</si>
  <si>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</si>
  <si>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</si>
  <si>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</si>
  <si>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</si>
  <si>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</si>
  <si>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</si>
  <si>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</si>
  <si>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</si>
  <si>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</si>
  <si>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</si>
  <si>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</si>
  <si>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</si>
  <si>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</si>
  <si>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</si>
  <si>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</si>
  <si>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</si>
  <si>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</si>
  <si>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</si>
  <si>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</si>
  <si>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</si>
  <si>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</si>
  <si>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</si>
  <si>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</si>
  <si>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</si>
  <si>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</si>
  <si>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</si>
  <si>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</si>
  <si>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</si>
  <si>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</si>
  <si>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</si>
  <si>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</si>
  <si>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</si>
  <si>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</si>
  <si>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</si>
  <si>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</si>
  <si>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</si>
  <si>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</si>
  <si>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</si>
  <si>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</si>
  <si>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</si>
  <si>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</si>
  <si>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</si>
  <si>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</si>
  <si>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</si>
  <si>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</si>
  <si>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</si>
  <si>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</si>
  <si>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</si>
  <si>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</si>
  <si>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</si>
  <si>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</si>
  <si>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</si>
  <si>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</si>
  <si>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</si>
  <si>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</si>
  <si>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</si>
  <si>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</si>
  <si>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</si>
  <si>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</si>
  <si>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</si>
  <si>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</si>
  <si>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</si>
  <si>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</si>
  <si>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</si>
  <si>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</si>
  <si>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</si>
  <si>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</si>
  <si>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</si>
  <si>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</si>
  <si>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</si>
  <si>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</si>
  <si>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</si>
  <si>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</si>
  <si>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</si>
  <si>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</si>
  <si>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</si>
  <si>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</si>
  <si>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</si>
  <si>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</si>
  <si>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</si>
  <si>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</si>
  <si>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</si>
  <si>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</si>
  <si>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</si>
  <si>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</si>
  <si>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</si>
  <si>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</si>
  <si>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</si>
  <si>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</si>
  <si>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</si>
  <si>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</si>
  <si>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</si>
  <si>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</si>
  <si>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</si>
  <si>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</si>
  <si>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</si>
  <si>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</si>
  <si>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</si>
  <si>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</si>
  <si>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</si>
  <si>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</si>
  <si>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</si>
  <si>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</si>
  <si>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</si>
  <si>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</si>
  <si>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</si>
  <si>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</si>
  <si>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</si>
  <si>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</si>
  <si>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</si>
  <si>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</si>
  <si>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</si>
  <si>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</si>
  <si>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</si>
  <si>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</si>
  <si>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</si>
  <si>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</si>
  <si>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</si>
  <si>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</si>
  <si>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</si>
  <si>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</si>
  <si>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</si>
  <si>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</si>
  <si>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</si>
  <si>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</si>
  <si>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</si>
  <si>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</si>
  <si>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</si>
  <si>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</si>
  <si>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</si>
  <si>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</si>
  <si>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</si>
  <si>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</si>
  <si>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</si>
  <si>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</si>
  <si>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</si>
  <si>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</si>
  <si>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</si>
  <si>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</si>
  <si>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</si>
  <si>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</si>
  <si>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</si>
  <si>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</si>
  <si>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</si>
  <si>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</si>
  <si>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</si>
  <si>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</si>
  <si>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</si>
  <si>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</si>
  <si>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</si>
  <si>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</si>
  <si>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</si>
  <si>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</si>
  <si>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</si>
  <si>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</si>
  <si>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</si>
  <si>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</si>
  <si>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</si>
  <si>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</si>
  <si>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</si>
  <si>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</si>
  <si>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</si>
  <si>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</si>
  <si>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</si>
  <si>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</si>
  <si>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</si>
  <si>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</si>
  <si>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</si>
  <si>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</si>
  <si>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</si>
  <si>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</si>
  <si>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</si>
  <si>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</si>
  <si>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</si>
  <si>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</si>
  <si>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</si>
  <si>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</si>
  <si>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</si>
  <si>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</si>
  <si>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</si>
  <si>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</si>
  <si>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</si>
  <si>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</si>
  <si>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</si>
  <si>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</si>
  <si>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</si>
  <si>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</si>
  <si>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</si>
  <si>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</si>
  <si>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</si>
  <si>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</si>
  <si>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</si>
  <si>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</si>
  <si>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</si>
  <si>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</si>
  <si>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</si>
  <si>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</si>
  <si>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</si>
  <si>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</si>
  <si>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</si>
  <si>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</si>
  <si>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</si>
  <si>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</si>
  <si>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</si>
  <si>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</si>
  <si>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</si>
  <si>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</si>
  <si>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</si>
  <si>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</si>
  <si>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</si>
  <si>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</si>
  <si>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</si>
  <si>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</si>
  <si>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</si>
  <si>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</si>
  <si>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</si>
  <si>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</si>
  <si>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</si>
  <si>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</si>
  <si>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</si>
  <si>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</si>
  <si>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</si>
  <si>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</si>
  <si>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</si>
  <si>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KSE-KOSPI+KOSDAQ_fwd</t>
    <phoneticPr fontId="1" type="noConversion"/>
  </si>
  <si>
    <t>주식1호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</si>
</sst>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Results!$S$12:$S$50</c:f>
              <c:numCache>
                <c:formatCode>General</c:formatCode>
                <c:ptCount val="39"/>
                <c:pt idx="0">
                  <c:v>100</c:v>
                </c:pt>
                <c:pt idx="1">
                  <c:v>107.874110751079</c:v>
                </c:pt>
                <c:pt idx="2">
                  <c:v>89.572163670949422</c:v>
                </c:pt>
                <c:pt idx="3">
                  <c:v>57.029377085101565</c:v>
                </c:pt>
                <c:pt idx="4">
                  <c:v>59.891716245004304</c:v>
                </c:pt>
                <c:pt idx="5">
                  <c:v>84.556833625819962</c:v>
                </c:pt>
                <c:pt idx="6">
                  <c:v>91.737202971987557</c:v>
                </c:pt>
                <c:pt idx="7">
                  <c:v>86.849700049280628</c:v>
                </c:pt>
                <c:pt idx="8">
                  <c:v>88.555260414377244</c:v>
                </c:pt>
                <c:pt idx="9">
                  <c:v>91.255013523419265</c:v>
                </c:pt>
                <c:pt idx="10">
                  <c:v>97.952184278205138</c:v>
                </c:pt>
                <c:pt idx="11">
                  <c:v>108.62538752449839</c:v>
                </c:pt>
                <c:pt idx="12">
                  <c:v>105.6998179576792</c:v>
                </c:pt>
                <c:pt idx="13">
                  <c:v>112.20335503398444</c:v>
                </c:pt>
                <c:pt idx="14">
                  <c:v>110.24320404260557</c:v>
                </c:pt>
                <c:pt idx="15">
                  <c:v>98.788586509670253</c:v>
                </c:pt>
                <c:pt idx="16">
                  <c:v>114.17644993474873</c:v>
                </c:pt>
                <c:pt idx="17">
                  <c:v>96.346874632464662</c:v>
                </c:pt>
                <c:pt idx="18">
                  <c:v>103.1806742458789</c:v>
                </c:pt>
                <c:pt idx="19">
                  <c:v>108.74812145074571</c:v>
                </c:pt>
                <c:pt idx="20">
                  <c:v>118.5382447826465</c:v>
                </c:pt>
                <c:pt idx="21">
                  <c:v>130.51800025114139</c:v>
                </c:pt>
                <c:pt idx="22">
                  <c:v>126.48381796716986</c:v>
                </c:pt>
                <c:pt idx="23">
                  <c:v>131.4060035919384</c:v>
                </c:pt>
                <c:pt idx="24">
                  <c:v>136.80414213247525</c:v>
                </c:pt>
                <c:pt idx="25">
                  <c:v>146.8866411366931</c:v>
                </c:pt>
                <c:pt idx="26">
                  <c:v>161.69917275313381</c:v>
                </c:pt>
                <c:pt idx="27">
                  <c:v>152.01573071594314</c:v>
                </c:pt>
                <c:pt idx="28">
                  <c:v>161.94533588894657</c:v>
                </c:pt>
                <c:pt idx="29">
                  <c:v>184.88407117841689</c:v>
                </c:pt>
                <c:pt idx="30">
                  <c:v>168.96699461261363</c:v>
                </c:pt>
                <c:pt idx="31">
                  <c:v>167.50914009483191</c:v>
                </c:pt>
                <c:pt idx="32">
                  <c:v>163.31974397574064</c:v>
                </c:pt>
                <c:pt idx="33">
                  <c:v>171.52029312131341</c:v>
                </c:pt>
                <c:pt idx="34">
                  <c:v>172.89463252462357</c:v>
                </c:pt>
                <c:pt idx="35">
                  <c:v>169.21953721407533</c:v>
                </c:pt>
                <c:pt idx="36">
                  <c:v>178.70053327876656</c:v>
                </c:pt>
                <c:pt idx="37">
                  <c:v>194.18833132660336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Results!$T$12:$T$50</c:f>
              <c:numCache>
                <c:formatCode>General</c:formatCode>
                <c:ptCount val="39"/>
                <c:pt idx="0">
                  <c:v>100</c:v>
                </c:pt>
                <c:pt idx="1">
                  <c:v>104.79991792031301</c:v>
                </c:pt>
                <c:pt idx="2">
                  <c:v>87.50072506458956</c:v>
                </c:pt>
                <c:pt idx="3">
                  <c:v>56.437574126310011</c:v>
                </c:pt>
                <c:pt idx="4">
                  <c:v>59.161833387802588</c:v>
                </c:pt>
                <c:pt idx="5">
                  <c:v>83.962894447712614</c:v>
                </c:pt>
                <c:pt idx="6">
                  <c:v>90.678120944447329</c:v>
                </c:pt>
                <c:pt idx="7">
                  <c:v>86.36200358652269</c:v>
                </c:pt>
                <c:pt idx="8">
                  <c:v>87.917582874756135</c:v>
                </c:pt>
                <c:pt idx="9">
                  <c:v>89.021788130254421</c:v>
                </c:pt>
                <c:pt idx="10">
                  <c:v>95.118369661354421</c:v>
                </c:pt>
                <c:pt idx="11">
                  <c:v>105.38167465323077</c:v>
                </c:pt>
                <c:pt idx="12">
                  <c:v>102.53795894757434</c:v>
                </c:pt>
                <c:pt idx="13">
                  <c:v>108.92103664619513</c:v>
                </c:pt>
                <c:pt idx="14">
                  <c:v>107.7729773067055</c:v>
                </c:pt>
                <c:pt idx="15">
                  <c:v>96.732536799695083</c:v>
                </c:pt>
                <c:pt idx="16">
                  <c:v>110.87870511596645</c:v>
                </c:pt>
                <c:pt idx="17">
                  <c:v>93.679246591527999</c:v>
                </c:pt>
                <c:pt idx="18">
                  <c:v>99.990524257359354</c:v>
                </c:pt>
                <c:pt idx="19">
                  <c:v>105.53510331354416</c:v>
                </c:pt>
                <c:pt idx="20">
                  <c:v>114.17763130738335</c:v>
                </c:pt>
                <c:pt idx="21">
                  <c:v>125.40260478469668</c:v>
                </c:pt>
                <c:pt idx="22">
                  <c:v>121.48685467450208</c:v>
                </c:pt>
                <c:pt idx="23">
                  <c:v>126.65304002335736</c:v>
                </c:pt>
                <c:pt idx="24">
                  <c:v>131.77101502289321</c:v>
                </c:pt>
                <c:pt idx="25">
                  <c:v>141.7813850983591</c:v>
                </c:pt>
                <c:pt idx="26">
                  <c:v>156.73001086751316</c:v>
                </c:pt>
                <c:pt idx="27">
                  <c:v>147.06843847357325</c:v>
                </c:pt>
                <c:pt idx="28">
                  <c:v>156.02997928061393</c:v>
                </c:pt>
                <c:pt idx="29">
                  <c:v>179.0432185238507</c:v>
                </c:pt>
                <c:pt idx="30">
                  <c:v>166.50178815651986</c:v>
                </c:pt>
                <c:pt idx="31">
                  <c:v>164.7471543093998</c:v>
                </c:pt>
                <c:pt idx="32">
                  <c:v>159.55134934868747</c:v>
                </c:pt>
                <c:pt idx="33">
                  <c:v>164.99550134294768</c:v>
                </c:pt>
                <c:pt idx="34">
                  <c:v>165.07636787223453</c:v>
                </c:pt>
                <c:pt idx="35">
                  <c:v>162.11834013196233</c:v>
                </c:pt>
                <c:pt idx="36">
                  <c:v>169.57295745568351</c:v>
                </c:pt>
                <c:pt idx="37">
                  <c:v>182.87336843078566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108.10756280234699</c:v>
                </c:pt>
                <c:pt idx="2">
                  <c:v>90.141204584420365</c:v>
                </c:pt>
                <c:pt idx="3">
                  <c:v>57.10733818840567</c:v>
                </c:pt>
                <c:pt idx="4">
                  <c:v>60.000773902471408</c:v>
                </c:pt>
                <c:pt idx="5">
                  <c:v>84.974181453297604</c:v>
                </c:pt>
                <c:pt idx="6">
                  <c:v>92.075760918334666</c:v>
                </c:pt>
                <c:pt idx="7">
                  <c:v>86.946100710283986</c:v>
                </c:pt>
                <c:pt idx="8">
                  <c:v>88.506800316439012</c:v>
                </c:pt>
                <c:pt idx="9">
                  <c:v>92.304075955642304</c:v>
                </c:pt>
                <c:pt idx="10">
                  <c:v>98.946058915371907</c:v>
                </c:pt>
                <c:pt idx="11">
                  <c:v>111.3514738222114</c:v>
                </c:pt>
                <c:pt idx="12">
                  <c:v>107.71734109893015</c:v>
                </c:pt>
                <c:pt idx="13">
                  <c:v>113.49961766387315</c:v>
                </c:pt>
                <c:pt idx="14">
                  <c:v>112.11533351827684</c:v>
                </c:pt>
                <c:pt idx="15">
                  <c:v>101.88610871736581</c:v>
                </c:pt>
                <c:pt idx="16">
                  <c:v>117.46855040247439</c:v>
                </c:pt>
                <c:pt idx="17">
                  <c:v>99.366252770669192</c:v>
                </c:pt>
                <c:pt idx="18">
                  <c:v>106.35089943390665</c:v>
                </c:pt>
                <c:pt idx="19">
                  <c:v>112.54508492980516</c:v>
                </c:pt>
                <c:pt idx="20">
                  <c:v>122.32273655147122</c:v>
                </c:pt>
                <c:pt idx="21">
                  <c:v>134.77852058305976</c:v>
                </c:pt>
                <c:pt idx="22">
                  <c:v>130.40798020293335</c:v>
                </c:pt>
                <c:pt idx="23">
                  <c:v>134.54680785636731</c:v>
                </c:pt>
                <c:pt idx="24">
                  <c:v>140.33826709222083</c:v>
                </c:pt>
                <c:pt idx="25">
                  <c:v>151.27272761017073</c:v>
                </c:pt>
                <c:pt idx="26">
                  <c:v>166.42300652981191</c:v>
                </c:pt>
                <c:pt idx="27">
                  <c:v>157.1183650505092</c:v>
                </c:pt>
                <c:pt idx="28">
                  <c:v>168.57859965573581</c:v>
                </c:pt>
                <c:pt idx="29">
                  <c:v>195.20835826542415</c:v>
                </c:pt>
                <c:pt idx="30">
                  <c:v>178.38645896444029</c:v>
                </c:pt>
                <c:pt idx="31">
                  <c:v>176.35239611787659</c:v>
                </c:pt>
                <c:pt idx="32">
                  <c:v>172.98224522706479</c:v>
                </c:pt>
                <c:pt idx="33">
                  <c:v>181.68952207065001</c:v>
                </c:pt>
                <c:pt idx="34">
                  <c:v>183.45412851229236</c:v>
                </c:pt>
                <c:pt idx="35">
                  <c:v>178.81046965161505</c:v>
                </c:pt>
                <c:pt idx="36">
                  <c:v>187.99202078812147</c:v>
                </c:pt>
                <c:pt idx="37">
                  <c:v>203.42774685089765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Results!$V$12:$V$50</c:f>
              <c:numCache>
                <c:formatCode>General</c:formatCode>
                <c:ptCount val="39"/>
                <c:pt idx="0">
                  <c:v>100</c:v>
                </c:pt>
                <c:pt idx="1">
                  <c:v>105.09635008706799</c:v>
                </c:pt>
                <c:pt idx="2">
                  <c:v>87.28937210461234</c:v>
                </c:pt>
                <c:pt idx="3">
                  <c:v>56.361956620265261</c:v>
                </c:pt>
                <c:pt idx="4">
                  <c:v>58.83790658104801</c:v>
                </c:pt>
                <c:pt idx="5">
                  <c:v>83.837582909990644</c:v>
                </c:pt>
                <c:pt idx="6">
                  <c:v>90.235029635964565</c:v>
                </c:pt>
                <c:pt idx="7">
                  <c:v>85.514745527521967</c:v>
                </c:pt>
                <c:pt idx="8">
                  <c:v>87.463970899285101</c:v>
                </c:pt>
                <c:pt idx="9">
                  <c:v>88.094400560740041</c:v>
                </c:pt>
                <c:pt idx="10">
                  <c:v>93.545965833456108</c:v>
                </c:pt>
                <c:pt idx="11">
                  <c:v>105.34943797604703</c:v>
                </c:pt>
                <c:pt idx="12">
                  <c:v>102.02254638979835</c:v>
                </c:pt>
                <c:pt idx="13">
                  <c:v>107.45255115926057</c:v>
                </c:pt>
                <c:pt idx="14">
                  <c:v>106.16094008737983</c:v>
                </c:pt>
                <c:pt idx="15">
                  <c:v>96.459199625276412</c:v>
                </c:pt>
                <c:pt idx="16">
                  <c:v>110.8472071823022</c:v>
                </c:pt>
                <c:pt idx="17">
                  <c:v>93.665306352311575</c:v>
                </c:pt>
                <c:pt idx="18">
                  <c:v>100.22454837228113</c:v>
                </c:pt>
                <c:pt idx="19">
                  <c:v>105.6082315872624</c:v>
                </c:pt>
                <c:pt idx="20">
                  <c:v>114.29523719848554</c:v>
                </c:pt>
                <c:pt idx="21">
                  <c:v>126.15384960622002</c:v>
                </c:pt>
                <c:pt idx="22">
                  <c:v>122.18008664671726</c:v>
                </c:pt>
                <c:pt idx="23">
                  <c:v>126.15106154727495</c:v>
                </c:pt>
                <c:pt idx="24">
                  <c:v>131.52780120051324</c:v>
                </c:pt>
                <c:pt idx="25">
                  <c:v>142.11844423222405</c:v>
                </c:pt>
                <c:pt idx="26">
                  <c:v>157.39327470401972</c:v>
                </c:pt>
                <c:pt idx="27">
                  <c:v>149.03710909196829</c:v>
                </c:pt>
                <c:pt idx="28">
                  <c:v>159.83416747063708</c:v>
                </c:pt>
                <c:pt idx="29">
                  <c:v>186.08625692089737</c:v>
                </c:pt>
                <c:pt idx="30">
                  <c:v>173.46831714965552</c:v>
                </c:pt>
                <c:pt idx="31">
                  <c:v>170.82551746993892</c:v>
                </c:pt>
                <c:pt idx="32">
                  <c:v>166.3154777029695</c:v>
                </c:pt>
                <c:pt idx="33">
                  <c:v>173.13832235905437</c:v>
                </c:pt>
                <c:pt idx="34">
                  <c:v>172.99182396908287</c:v>
                </c:pt>
                <c:pt idx="35">
                  <c:v>169.23765424761868</c:v>
                </c:pt>
                <c:pt idx="36">
                  <c:v>176.13977787960849</c:v>
                </c:pt>
                <c:pt idx="37">
                  <c:v>190.04853469901846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104.10798471377301</c:v>
                </c:pt>
                <c:pt idx="2">
                  <c:v>111.78076885499651</c:v>
                </c:pt>
                <c:pt idx="3">
                  <c:v>123.05310893957802</c:v>
                </c:pt>
                <c:pt idx="4">
                  <c:v>115.68400724521318</c:v>
                </c:pt>
                <c:pt idx="5">
                  <c:v>123.2404391445032</c:v>
                </c:pt>
                <c:pt idx="6">
                  <c:v>140.69682215779619</c:v>
                </c:pt>
                <c:pt idx="7">
                  <c:v>128.58392310393612</c:v>
                </c:pt>
                <c:pt idx="8">
                  <c:v>127.47449546902465</c:v>
                </c:pt>
                <c:pt idx="9">
                  <c:v>124.28636402557795</c:v>
                </c:pt>
                <c:pt idx="10">
                  <c:v>130.52698387658441</c:v>
                </c:pt>
                <c:pt idx="11">
                  <c:v>131.57285648951157</c:v>
                </c:pt>
                <c:pt idx="12">
                  <c:v>128.77610808373802</c:v>
                </c:pt>
                <c:pt idx="13">
                  <c:v>135.99114834486113</c:v>
                </c:pt>
                <c:pt idx="14">
                  <c:v>147.77736634440689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104.040941298047</c:v>
                </c:pt>
                <c:pt idx="2">
                  <c:v>111.94471532006793</c:v>
                </c:pt>
                <c:pt idx="3">
                  <c:v>123.74753171231342</c:v>
                </c:pt>
                <c:pt idx="4">
                  <c:v>116.1191539077553</c:v>
                </c:pt>
                <c:pt idx="5">
                  <c:v>123.19481573583933</c:v>
                </c:pt>
                <c:pt idx="6">
                  <c:v>141.36511724537488</c:v>
                </c:pt>
                <c:pt idx="7">
                  <c:v>131.46292274217311</c:v>
                </c:pt>
                <c:pt idx="8">
                  <c:v>130.07753645630387</c:v>
                </c:pt>
                <c:pt idx="9">
                  <c:v>125.97514384120824</c:v>
                </c:pt>
                <c:pt idx="10">
                  <c:v>130.27362099837416</c:v>
                </c:pt>
                <c:pt idx="11">
                  <c:v>130.33746986396156</c:v>
                </c:pt>
                <c:pt idx="12">
                  <c:v>128.0019335517446</c:v>
                </c:pt>
                <c:pt idx="13">
                  <c:v>133.88779094794006</c:v>
                </c:pt>
                <c:pt idx="14">
                  <c:v>144.38924513541892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104.30441965002699</c:v>
                </c:pt>
                <c:pt idx="2">
                  <c:v>112.43130180513745</c:v>
                </c:pt>
                <c:pt idx="3">
                  <c:v>123.69153098561311</c:v>
                </c:pt>
                <c:pt idx="4">
                  <c:v>116.77598863455584</c:v>
                </c:pt>
                <c:pt idx="5">
                  <c:v>125.29364489694801</c:v>
                </c:pt>
                <c:pt idx="6">
                  <c:v>145.08583397520277</c:v>
                </c:pt>
                <c:pt idx="7">
                  <c:v>132.58319673765365</c:v>
                </c:pt>
                <c:pt idx="8">
                  <c:v>131.07140847677189</c:v>
                </c:pt>
                <c:pt idx="9">
                  <c:v>128.56659179289372</c:v>
                </c:pt>
                <c:pt idx="10">
                  <c:v>135.03815138045414</c:v>
                </c:pt>
                <c:pt idx="11">
                  <c:v>136.34967000341999</c:v>
                </c:pt>
                <c:pt idx="12">
                  <c:v>132.89833664615853</c:v>
                </c:pt>
                <c:pt idx="13">
                  <c:v>139.7223938518174</c:v>
                </c:pt>
                <c:pt idx="14">
                  <c:v>151.19477755879785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104.26214380385801</c:v>
                </c:pt>
                <c:pt idx="2">
                  <c:v>112.65735102749441</c:v>
                </c:pt>
                <c:pt idx="3">
                  <c:v>124.76571562185134</c:v>
                </c:pt>
                <c:pt idx="4">
                  <c:v>118.1417795966123</c:v>
                </c:pt>
                <c:pt idx="5">
                  <c:v>126.70061235334072</c:v>
                </c:pt>
                <c:pt idx="6">
                  <c:v>147.51065479632274</c:v>
                </c:pt>
                <c:pt idx="7">
                  <c:v>137.50840858730982</c:v>
                </c:pt>
                <c:pt idx="8">
                  <c:v>135.41346016016067</c:v>
                </c:pt>
                <c:pt idx="9">
                  <c:v>131.83834972378966</c:v>
                </c:pt>
                <c:pt idx="10">
                  <c:v>137.24682157682122</c:v>
                </c:pt>
                <c:pt idx="11">
                  <c:v>137.13069224094829</c:v>
                </c:pt>
                <c:pt idx="12">
                  <c:v>134.15476031027856</c:v>
                </c:pt>
                <c:pt idx="13">
                  <c:v>139.62607664113895</c:v>
                </c:pt>
                <c:pt idx="14">
                  <c:v>150.65155407178085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KSE-KOSPI+KOSDAQ_fwd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-5.966811596976429E-3</c:v>
                </c:pt>
                <c:pt idx="1">
                  <c:v>3.0133633477477884E-2</c:v>
                </c:pt>
                <c:pt idx="2">
                  <c:v>-7.0191789167701968E-2</c:v>
                </c:pt>
                <c:pt idx="3">
                  <c:v>-7.4070210662180447E-3</c:v>
                </c:pt>
                <c:pt idx="4">
                  <c:v>9.9760235360561333E-2</c:v>
                </c:pt>
                <c:pt idx="5">
                  <c:v>3.0374969240097416E-2</c:v>
                </c:pt>
                <c:pt idx="6">
                  <c:v>-7.0046083715223917E-3</c:v>
                </c:pt>
                <c:pt idx="7">
                  <c:v>-6.8496813758284203E-3</c:v>
                </c:pt>
                <c:pt idx="8">
                  <c:v>5.0081884873206528E-3</c:v>
                </c:pt>
                <c:pt idx="9">
                  <c:v>2.069746712539533E-2</c:v>
                </c:pt>
                <c:pt idx="10">
                  <c:v>5.3048559377691817E-2</c:v>
                </c:pt>
                <c:pt idx="11">
                  <c:v>-3.472187633509205E-3</c:v>
                </c:pt>
                <c:pt idx="12">
                  <c:v>-4.5751616923316862E-2</c:v>
                </c:pt>
                <c:pt idx="13">
                  <c:v>7.0100983463985411E-2</c:v>
                </c:pt>
                <c:pt idx="14">
                  <c:v>-1.3157759899775523E-2</c:v>
                </c:pt>
                <c:pt idx="15">
                  <c:v>3.6589057491721699E-2</c:v>
                </c:pt>
                <c:pt idx="16">
                  <c:v>-3.4424898084882805E-2</c:v>
                </c:pt>
                <c:pt idx="17">
                  <c:v>8.2692622554910722E-3</c:v>
                </c:pt>
                <c:pt idx="18">
                  <c:v>5.1409826158181571E-2</c:v>
                </c:pt>
                <c:pt idx="19">
                  <c:v>8.7063008517235141E-2</c:v>
                </c:pt>
                <c:pt idx="20">
                  <c:v>0.20290336440903922</c:v>
                </c:pt>
                <c:pt idx="21">
                  <c:v>0.20878359060692808</c:v>
                </c:pt>
                <c:pt idx="22">
                  <c:v>0.17308948457341089</c:v>
                </c:pt>
                <c:pt idx="23">
                  <c:v>0.25168241140824865</c:v>
                </c:pt>
                <c:pt idx="24">
                  <c:v>0.31969869811785612</c:v>
                </c:pt>
                <c:pt idx="25">
                  <c:v>0.39260317151216728</c:v>
                </c:pt>
                <c:pt idx="26">
                  <c:v>0.38263929978583811</c:v>
                </c:pt>
                <c:pt idx="27">
                  <c:v>0.45731271734133361</c:v>
                </c:pt>
                <c:pt idx="28">
                  <c:v>0.56540063230970539</c:v>
                </c:pt>
                <c:pt idx="29">
                  <c:v>0.57491431363199108</c:v>
                </c:pt>
                <c:pt idx="30">
                  <c:v>0.52303121833357313</c:v>
                </c:pt>
                <c:pt idx="31">
                  <c:v>0.54333663134866628</c:v>
                </c:pt>
                <c:pt idx="32">
                  <c:v>0.55213503055300506</c:v>
                </c:pt>
                <c:pt idx="33">
                  <c:v>0.51955795304829544</c:v>
                </c:pt>
                <c:pt idx="34">
                  <c:v>0.51293640186988665</c:v>
                </c:pt>
                <c:pt idx="35">
                  <c:v>0.5025833168175472</c:v>
                </c:pt>
                <c:pt idx="36">
                  <c:v>0.46046517986104474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108.10756280234699</c:v>
                </c:pt>
                <c:pt idx="2">
                  <c:v>90.141204584420365</c:v>
                </c:pt>
                <c:pt idx="3">
                  <c:v>57.10733818840567</c:v>
                </c:pt>
                <c:pt idx="4">
                  <c:v>60.000773902471408</c:v>
                </c:pt>
                <c:pt idx="5">
                  <c:v>84.974181453297604</c:v>
                </c:pt>
                <c:pt idx="6">
                  <c:v>92.075760918334666</c:v>
                </c:pt>
                <c:pt idx="7">
                  <c:v>86.946100710283986</c:v>
                </c:pt>
                <c:pt idx="8">
                  <c:v>88.506800316439012</c:v>
                </c:pt>
                <c:pt idx="9">
                  <c:v>92.304075955642304</c:v>
                </c:pt>
                <c:pt idx="10">
                  <c:v>98.946058915371907</c:v>
                </c:pt>
                <c:pt idx="11">
                  <c:v>111.3514738222114</c:v>
                </c:pt>
                <c:pt idx="12">
                  <c:v>107.71734109893015</c:v>
                </c:pt>
                <c:pt idx="13">
                  <c:v>113.49961766387315</c:v>
                </c:pt>
                <c:pt idx="14">
                  <c:v>112.11533351827684</c:v>
                </c:pt>
                <c:pt idx="15">
                  <c:v>101.88610871736581</c:v>
                </c:pt>
                <c:pt idx="16">
                  <c:v>117.46855040247439</c:v>
                </c:pt>
                <c:pt idx="17">
                  <c:v>99.366252770669192</c:v>
                </c:pt>
                <c:pt idx="18">
                  <c:v>106.35089943390665</c:v>
                </c:pt>
                <c:pt idx="19">
                  <c:v>112.54508492980516</c:v>
                </c:pt>
                <c:pt idx="20">
                  <c:v>122.32273655147122</c:v>
                </c:pt>
                <c:pt idx="21">
                  <c:v>134.77852058305976</c:v>
                </c:pt>
                <c:pt idx="22">
                  <c:v>130.40798020293335</c:v>
                </c:pt>
                <c:pt idx="23">
                  <c:v>134.54680785636731</c:v>
                </c:pt>
                <c:pt idx="24">
                  <c:v>140.33826709222083</c:v>
                </c:pt>
                <c:pt idx="25">
                  <c:v>151.27272761017073</c:v>
                </c:pt>
                <c:pt idx="26">
                  <c:v>166.42300652981191</c:v>
                </c:pt>
                <c:pt idx="27">
                  <c:v>157.1183650505092</c:v>
                </c:pt>
                <c:pt idx="28">
                  <c:v>168.57859965573581</c:v>
                </c:pt>
                <c:pt idx="29">
                  <c:v>195.20835826542415</c:v>
                </c:pt>
                <c:pt idx="30">
                  <c:v>178.38645896444029</c:v>
                </c:pt>
                <c:pt idx="31">
                  <c:v>176.35239611787659</c:v>
                </c:pt>
                <c:pt idx="32">
                  <c:v>172.98224522706479</c:v>
                </c:pt>
                <c:pt idx="33">
                  <c:v>181.68952207065001</c:v>
                </c:pt>
                <c:pt idx="34">
                  <c:v>183.45412851229236</c:v>
                </c:pt>
                <c:pt idx="35">
                  <c:v>178.81046965161505</c:v>
                </c:pt>
                <c:pt idx="36">
                  <c:v>187.99202078812147</c:v>
                </c:pt>
                <c:pt idx="37">
                  <c:v>203.42774685089765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ser>
          <c:idx val="1"/>
          <c:order val="3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412378</xdr:colOff>
      <xdr:row>11</xdr:row>
      <xdr:rowOff>143435</xdr:rowOff>
    </xdr:from>
    <xdr:to>
      <xdr:col>38</xdr:col>
      <xdr:colOff>98612</xdr:colOff>
      <xdr:row>35</xdr:row>
      <xdr:rowOff>125505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4002"/>
  <sheetViews>
    <sheetView showGridLines="0" tabSelected="1" topLeftCell="A12" zoomScale="85" zoomScaleNormal="85" workbookViewId="0">
      <selection activeCell="B32" sqref="B32"/>
    </sheetView>
  </sheetViews>
  <sheetFormatPr defaultRowHeight="17.399999999999999" x14ac:dyDescent="0.4"/>
  <cols>
    <col min="1" max="8" width="14.69921875" customWidth="1"/>
    <col min="32" max="32" width="12.8984375" customWidth="1"/>
  </cols>
  <sheetData>
    <row r="1" spans="1:75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75" x14ac:dyDescent="0.4">
      <c r="J2">
        <v>0</v>
      </c>
      <c r="K2">
        <v>1.12368503189808</v>
      </c>
      <c r="L2">
        <v>0.912846820242315</v>
      </c>
      <c r="M2">
        <v>1.2184842926820001</v>
      </c>
      <c r="N2">
        <v>1.3078710460624401</v>
      </c>
      <c r="O2">
        <v>0.90193523827219302</v>
      </c>
      <c r="P2">
        <v>0.95949605020139905</v>
      </c>
      <c r="Q2">
        <v>0.95354984597903802</v>
      </c>
      <c r="R2">
        <v>0.81501333195160197</v>
      </c>
      <c r="S2">
        <v>1.16093038686893</v>
      </c>
      <c r="T2">
        <v>1.1588939255735899</v>
      </c>
      <c r="U2">
        <v>1.03351540258414</v>
      </c>
      <c r="V2">
        <v>1.0725485646083299</v>
      </c>
      <c r="W2">
        <v>0.90119035227104605</v>
      </c>
      <c r="X2">
        <v>1.04378336404923</v>
      </c>
      <c r="Y2">
        <v>1.1708061920459101</v>
      </c>
      <c r="Z2">
        <v>1.2522690190402399</v>
      </c>
      <c r="AA2">
        <v>0.94006462244252098</v>
      </c>
      <c r="AB2">
        <v>1.17338645707489</v>
      </c>
      <c r="AC2">
        <v>1.3209653591781001</v>
      </c>
      <c r="AD2">
        <v>0.96648086087724705</v>
      </c>
      <c r="AE2">
        <v>0.98380506425894398</v>
      </c>
      <c r="AF2">
        <v>0.99353780326431695</v>
      </c>
      <c r="AG2">
        <v>1.16597819695864</v>
      </c>
      <c r="AH2">
        <v>0.96173495195198699</v>
      </c>
      <c r="AI2">
        <v>1.4240632241984099</v>
      </c>
      <c r="AJ2">
        <v>1.1423739513304401</v>
      </c>
      <c r="AK2">
        <v>0.91022638419492097</v>
      </c>
      <c r="AL2">
        <v>0.97050944401494998</v>
      </c>
      <c r="AM2">
        <v>1.04799917920313</v>
      </c>
      <c r="AN2">
        <v>0.83493123659813095</v>
      </c>
      <c r="AO2">
        <v>0.64499550243326598</v>
      </c>
      <c r="AP2">
        <v>1.0482703111121601</v>
      </c>
      <c r="AQ2">
        <v>1.4192071076861399</v>
      </c>
      <c r="AR2">
        <v>1.0799785017049</v>
      </c>
      <c r="AS2">
        <v>0.95240177770590495</v>
      </c>
      <c r="AT2">
        <v>1.01801231124374</v>
      </c>
      <c r="AU2">
        <v>1.01255954974412</v>
      </c>
      <c r="AV2">
        <v>1.06848415044393</v>
      </c>
      <c r="AW2">
        <v>1.10790034594176</v>
      </c>
      <c r="AX2">
        <v>0.97301508336232101</v>
      </c>
      <c r="AY2">
        <v>1.0622508753259301</v>
      </c>
      <c r="AZ2">
        <v>0.98945970976002695</v>
      </c>
      <c r="BA2">
        <v>0.89755836033376901</v>
      </c>
      <c r="BB2">
        <v>1.1462400220679001</v>
      </c>
      <c r="BC2">
        <v>0.84488041679013304</v>
      </c>
      <c r="BD2">
        <v>1.0673711403055</v>
      </c>
      <c r="BE2">
        <v>1.05545104496016</v>
      </c>
      <c r="BF2">
        <v>1.0818924483179999</v>
      </c>
      <c r="BG2">
        <v>1.09831149366809</v>
      </c>
      <c r="BH2">
        <v>0.96877457117483701</v>
      </c>
      <c r="BI2">
        <v>1.042524644849</v>
      </c>
      <c r="BJ2">
        <v>1.04040941298047</v>
      </c>
      <c r="BK2">
        <v>1.0759679211223101</v>
      </c>
      <c r="BL2">
        <v>1.10543433299642</v>
      </c>
      <c r="BM2">
        <v>0.93835531344340295</v>
      </c>
      <c r="BN2">
        <v>1.06093449349196</v>
      </c>
      <c r="BO2">
        <v>1.1474924200422301</v>
      </c>
      <c r="BP2">
        <v>0.92995305563243003</v>
      </c>
      <c r="BQ2">
        <v>0.98946177175304195</v>
      </c>
      <c r="BR2">
        <v>0.96846194410766895</v>
      </c>
      <c r="BS2">
        <v>1.03412162928414</v>
      </c>
      <c r="BT2">
        <v>1.00049011354024</v>
      </c>
      <c r="BU2">
        <v>0.98208085276893398</v>
      </c>
      <c r="BV2">
        <v>1.0459825663009701</v>
      </c>
      <c r="BW2">
        <v>1.0784347408611901</v>
      </c>
    </row>
    <row r="3" spans="1:75" x14ac:dyDescent="0.4">
      <c r="A3" s="2" t="s">
        <v>18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</row>
    <row r="4" spans="1:75" x14ac:dyDescent="0.4">
      <c r="A4" s="4" t="s">
        <v>9</v>
      </c>
      <c r="B4" s="4" t="s">
        <v>1</v>
      </c>
      <c r="C4" s="4" t="s">
        <v>2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</row>
    <row r="5" spans="1:75" x14ac:dyDescent="0.4">
      <c r="A5" s="5"/>
      <c r="B5" s="5"/>
      <c r="C5" s="5"/>
      <c r="J5">
        <v>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</row>
    <row r="6" spans="1:75" x14ac:dyDescent="0.4">
      <c r="A6" s="5"/>
      <c r="B6" s="5"/>
      <c r="C6" s="5"/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</row>
    <row r="7" spans="1:75" x14ac:dyDescent="0.4">
      <c r="A7" s="6"/>
      <c r="B7" s="6"/>
      <c r="C7" s="6"/>
    </row>
    <row r="9" spans="1:75" x14ac:dyDescent="0.4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</row>
    <row r="10" spans="1:75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</row>
    <row r="11" spans="1:75" x14ac:dyDescent="0.4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660</v>
      </c>
    </row>
    <row r="12" spans="1:75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659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</row>
    <row r="13" spans="1:75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1.07874110751079</v>
      </c>
      <c r="M13">
        <v>1.04799917920313</v>
      </c>
      <c r="N13">
        <v>1.0810756280234699</v>
      </c>
      <c r="O13">
        <v>1.0509635008706799</v>
      </c>
      <c r="P13">
        <f>P12*I13</f>
        <v>108.75759707969908</v>
      </c>
      <c r="Q13">
        <f t="shared" ref="Q13:V13" si="0">Q12*J13</f>
        <v>111.90938035758022</v>
      </c>
      <c r="R13">
        <f t="shared" si="0"/>
        <v>108.70424396204463</v>
      </c>
      <c r="S13">
        <f t="shared" si="0"/>
        <v>107.874110751079</v>
      </c>
      <c r="T13">
        <f t="shared" si="0"/>
        <v>104.79991792031301</v>
      </c>
      <c r="U13">
        <f t="shared" si="0"/>
        <v>108.10756280234699</v>
      </c>
      <c r="V13">
        <f t="shared" si="0"/>
        <v>105.09635008706799</v>
      </c>
      <c r="AD13" s="16">
        <f>N13-K13</f>
        <v>-5.966811596976429E-3</v>
      </c>
      <c r="AE13" s="16">
        <f>AD13</f>
        <v>-5.966811596976429E-3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</row>
    <row r="14" spans="1:75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1">F14/F13</f>
        <v>0.83418872446852865</v>
      </c>
      <c r="J14">
        <f t="shared" ref="J14:J49" si="2">G14/G13</f>
        <v>0.82213750147726328</v>
      </c>
      <c r="K14">
        <f t="shared" ref="K14:K49" si="3">H14/H13</f>
        <v>0.79770990313610968</v>
      </c>
      <c r="L14">
        <v>0.83033976407590904</v>
      </c>
      <c r="M14">
        <v>0.83493123659813095</v>
      </c>
      <c r="N14">
        <v>0.83381034821056399</v>
      </c>
      <c r="O14">
        <v>0.830565210231342</v>
      </c>
      <c r="P14">
        <f t="shared" ref="P14:P50" si="4">P13*I14</f>
        <v>90.72436118417636</v>
      </c>
      <c r="Q14">
        <f t="shared" ref="Q14:Q50" si="5">Q13*J14</f>
        <v>92.004898359049719</v>
      </c>
      <c r="R14">
        <f t="shared" ref="R14:R50" si="6">R13*K14</f>
        <v>86.714451921446653</v>
      </c>
      <c r="S14">
        <f t="shared" ref="S14:S50" si="7">S13*L14</f>
        <v>89.572163670949422</v>
      </c>
      <c r="T14">
        <f t="shared" ref="T14:T50" si="8">T13*M14</f>
        <v>87.50072506458956</v>
      </c>
      <c r="U14">
        <f t="shared" ref="U14:U50" si="9">U13*N14</f>
        <v>90.141204584420365</v>
      </c>
      <c r="V14">
        <f t="shared" ref="V14:V50" si="10">V13*O14</f>
        <v>87.28937210461234</v>
      </c>
      <c r="AD14" s="16">
        <f t="shared" ref="AD14:AD50" si="11">N14-K14</f>
        <v>3.6100445074454313E-2</v>
      </c>
      <c r="AE14" s="16">
        <f>AE13+AD14</f>
        <v>3.0133633477477884E-2</v>
      </c>
      <c r="AF14" s="19">
        <v>20060420</v>
      </c>
      <c r="AG14" s="17">
        <v>1007.86</v>
      </c>
      <c r="AH14">
        <f t="shared" ref="AH14:AH49" si="12">VLOOKUP(B14,$AF$12:$AG$4002,2,FALSE)</f>
        <v>1378.6006919204519</v>
      </c>
      <c r="AI14">
        <f t="shared" ref="AI14:AI49" si="13">AH14/AH13</f>
        <v>0.85205195890384944</v>
      </c>
      <c r="AJ14">
        <f t="shared" ref="AJ14:AJ49" si="14">AJ13*AI14</f>
        <v>88.942498400445643</v>
      </c>
    </row>
    <row r="15" spans="1:75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1"/>
        <v>0.73111697559299793</v>
      </c>
      <c r="J15">
        <f t="shared" si="2"/>
        <v>0.75724599101305445</v>
      </c>
      <c r="K15">
        <f t="shared" si="3"/>
        <v>0.73385742892009787</v>
      </c>
      <c r="L15">
        <v>0.63668638500911501</v>
      </c>
      <c r="M15">
        <v>0.64499550243326598</v>
      </c>
      <c r="N15">
        <v>0.63353200627491801</v>
      </c>
      <c r="O15">
        <v>0.64569093878597295</v>
      </c>
      <c r="P15">
        <f t="shared" si="4"/>
        <v>66.330120561581793</v>
      </c>
      <c r="Q15">
        <f t="shared" si="5"/>
        <v>69.670340435953946</v>
      </c>
      <c r="R15">
        <f t="shared" si="6"/>
        <v>63.63604473728828</v>
      </c>
      <c r="S15">
        <f t="shared" si="7"/>
        <v>57.029377085101565</v>
      </c>
      <c r="T15">
        <f t="shared" si="8"/>
        <v>56.437574126310011</v>
      </c>
      <c r="U15">
        <f t="shared" si="9"/>
        <v>57.10733818840567</v>
      </c>
      <c r="V15">
        <f t="shared" si="10"/>
        <v>56.361956620265261</v>
      </c>
      <c r="AD15" s="16">
        <f t="shared" si="11"/>
        <v>-0.10032542264517985</v>
      </c>
      <c r="AE15" s="16">
        <f t="shared" ref="AE15:AE49" si="15">AE14+AD15</f>
        <v>-7.0191789167701968E-2</v>
      </c>
      <c r="AF15" s="19">
        <v>20060421</v>
      </c>
      <c r="AG15" s="17">
        <v>1017.49</v>
      </c>
      <c r="AH15">
        <f t="shared" si="12"/>
        <v>952.19053953223204</v>
      </c>
      <c r="AI15">
        <f t="shared" si="13"/>
        <v>0.69069350183321643</v>
      </c>
      <c r="AJ15">
        <f t="shared" si="14"/>
        <v>61.432005681999051</v>
      </c>
    </row>
    <row r="16" spans="1:75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1"/>
        <v>0.9973373202335184</v>
      </c>
      <c r="J16">
        <f t="shared" si="2"/>
        <v>0.97083637999887507</v>
      </c>
      <c r="K16">
        <f t="shared" si="3"/>
        <v>0.98788185033763609</v>
      </c>
      <c r="L16">
        <v>1.0501906088791999</v>
      </c>
      <c r="M16">
        <v>1.0482703111121601</v>
      </c>
      <c r="N16">
        <v>1.05066661843912</v>
      </c>
      <c r="O16">
        <v>1.0439294536466199</v>
      </c>
      <c r="P16">
        <f t="shared" si="4"/>
        <v>66.153504691654177</v>
      </c>
      <c r="Q16">
        <f t="shared" si="5"/>
        <v>67.638501102130775</v>
      </c>
      <c r="R16">
        <f t="shared" si="6"/>
        <v>62.864893623240938</v>
      </c>
      <c r="S16">
        <f t="shared" si="7"/>
        <v>59.891716245004304</v>
      </c>
      <c r="T16">
        <f t="shared" si="8"/>
        <v>59.161833387802588</v>
      </c>
      <c r="U16">
        <f t="shared" si="9"/>
        <v>60.000773902471408</v>
      </c>
      <c r="V16">
        <f t="shared" si="10"/>
        <v>58.83790658104801</v>
      </c>
      <c r="AD16" s="16">
        <f t="shared" si="11"/>
        <v>6.2784768101483923E-2</v>
      </c>
      <c r="AE16" s="16">
        <f t="shared" si="15"/>
        <v>-7.4070210662180447E-3</v>
      </c>
      <c r="AF16" s="19">
        <v>20060422</v>
      </c>
      <c r="AG16" s="18">
        <v>1017.5</v>
      </c>
      <c r="AH16">
        <f t="shared" si="12"/>
        <v>1039.746347799588</v>
      </c>
      <c r="AI16">
        <f t="shared" si="13"/>
        <v>1.0919519829616959</v>
      </c>
      <c r="AJ16">
        <f t="shared" si="14"/>
        <v>67.080800421773034</v>
      </c>
    </row>
    <row r="17" spans="1:36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1"/>
        <v>1.3401481946804106</v>
      </c>
      <c r="J17">
        <f t="shared" si="2"/>
        <v>1.3391341502273979</v>
      </c>
      <c r="K17">
        <f t="shared" si="3"/>
        <v>1.3090508342168405</v>
      </c>
      <c r="L17">
        <v>1.4118285286719101</v>
      </c>
      <c r="M17">
        <v>1.4192071076861399</v>
      </c>
      <c r="N17">
        <v>1.4162180906436199</v>
      </c>
      <c r="O17">
        <v>1.42489064927057</v>
      </c>
      <c r="P17">
        <f t="shared" si="4"/>
        <v>88.655499884302415</v>
      </c>
      <c r="Q17">
        <f t="shared" si="5"/>
        <v>90.577026696056805</v>
      </c>
      <c r="R17">
        <f t="shared" si="6"/>
        <v>82.293341440456487</v>
      </c>
      <c r="S17">
        <f t="shared" si="7"/>
        <v>84.556833625819962</v>
      </c>
      <c r="T17">
        <f t="shared" si="8"/>
        <v>83.962894447712614</v>
      </c>
      <c r="U17">
        <f t="shared" si="9"/>
        <v>84.974181453297604</v>
      </c>
      <c r="V17">
        <f t="shared" si="10"/>
        <v>83.837582909990644</v>
      </c>
      <c r="AD17" s="16">
        <f t="shared" si="11"/>
        <v>0.10716725642677938</v>
      </c>
      <c r="AE17" s="16">
        <f t="shared" si="15"/>
        <v>9.9760235360561333E-2</v>
      </c>
      <c r="AF17" s="19">
        <v>20060423</v>
      </c>
      <c r="AG17" s="17">
        <v>1017.5</v>
      </c>
      <c r="AH17">
        <f t="shared" si="12"/>
        <v>1350.777640723368</v>
      </c>
      <c r="AI17">
        <f t="shared" si="13"/>
        <v>1.2991415104097404</v>
      </c>
      <c r="AJ17">
        <f t="shared" si="14"/>
        <v>87.147452379436572</v>
      </c>
    </row>
    <row r="18" spans="1:36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1"/>
        <v>1.1035762986321218</v>
      </c>
      <c r="J18">
        <f t="shared" si="2"/>
        <v>1.1445815058973678</v>
      </c>
      <c r="K18">
        <f t="shared" si="3"/>
        <v>1.1529586450407439</v>
      </c>
      <c r="L18">
        <v>1.08491767061598</v>
      </c>
      <c r="M18">
        <v>1.0799785017049</v>
      </c>
      <c r="N18">
        <v>1.0835733789202799</v>
      </c>
      <c r="O18">
        <v>1.0763076236685201</v>
      </c>
      <c r="P18">
        <f t="shared" si="4"/>
        <v>97.838108415698969</v>
      </c>
      <c r="Q18">
        <f t="shared" si="5"/>
        <v>103.67278961547879</v>
      </c>
      <c r="R18">
        <f t="shared" si="6"/>
        <v>94.880819443064013</v>
      </c>
      <c r="S18">
        <f t="shared" si="7"/>
        <v>91.737202971987557</v>
      </c>
      <c r="T18">
        <f t="shared" si="8"/>
        <v>90.678120944447329</v>
      </c>
      <c r="U18">
        <f t="shared" si="9"/>
        <v>92.075760918334666</v>
      </c>
      <c r="V18">
        <f t="shared" si="10"/>
        <v>90.235029635964565</v>
      </c>
      <c r="AD18" s="16">
        <f t="shared" si="11"/>
        <v>-6.9385266120463918E-2</v>
      </c>
      <c r="AE18" s="16">
        <f t="shared" si="15"/>
        <v>3.0374969240097416E-2</v>
      </c>
      <c r="AF18" s="19">
        <v>20060424</v>
      </c>
      <c r="AG18" s="17">
        <v>1015.32</v>
      </c>
      <c r="AH18">
        <f t="shared" si="12"/>
        <v>1439.593244793132</v>
      </c>
      <c r="AI18">
        <f t="shared" si="13"/>
        <v>1.0657514615227133</v>
      </c>
      <c r="AJ18">
        <f t="shared" si="14"/>
        <v>92.877524741365576</v>
      </c>
    </row>
    <row r="19" spans="1:36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1"/>
        <v>0.99963317099540994</v>
      </c>
      <c r="J19">
        <f t="shared" si="2"/>
        <v>0.983770222255821</v>
      </c>
      <c r="K19">
        <f t="shared" si="3"/>
        <v>0.98166827903652176</v>
      </c>
      <c r="L19">
        <v>0.946722782422314</v>
      </c>
      <c r="M19">
        <v>0.95240177770590495</v>
      </c>
      <c r="N19">
        <v>0.94428870142490196</v>
      </c>
      <c r="O19">
        <v>0.94768900583857896</v>
      </c>
      <c r="P19">
        <f t="shared" si="4"/>
        <v>97.80221855977787</v>
      </c>
      <c r="Q19">
        <f t="shared" si="5"/>
        <v>101.99020328190055</v>
      </c>
      <c r="R19">
        <f t="shared" si="6"/>
        <v>93.141490736247604</v>
      </c>
      <c r="S19">
        <f t="shared" si="7"/>
        <v>86.849700049280628</v>
      </c>
      <c r="T19">
        <f t="shared" si="8"/>
        <v>86.36200358652269</v>
      </c>
      <c r="U19">
        <f t="shared" si="9"/>
        <v>86.946100710283986</v>
      </c>
      <c r="V19">
        <f t="shared" si="10"/>
        <v>85.514745527521967</v>
      </c>
      <c r="AD19" s="16">
        <f t="shared" si="11"/>
        <v>-3.7379577611619808E-2</v>
      </c>
      <c r="AE19" s="16">
        <f t="shared" si="15"/>
        <v>-7.0046083715223917E-3</v>
      </c>
      <c r="AF19" s="19">
        <v>20060425</v>
      </c>
      <c r="AG19" s="17">
        <v>1018.48</v>
      </c>
      <c r="AH19">
        <f t="shared" si="12"/>
        <v>1367.923154326872</v>
      </c>
      <c r="AI19">
        <f t="shared" si="13"/>
        <v>0.95021504114062516</v>
      </c>
      <c r="AJ19">
        <f t="shared" si="14"/>
        <v>88.253620993156119</v>
      </c>
    </row>
    <row r="20" spans="1:36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1"/>
        <v>1.0532918085029332</v>
      </c>
      <c r="J20">
        <f t="shared" si="2"/>
        <v>1.0533732283767105</v>
      </c>
      <c r="K20">
        <f t="shared" si="3"/>
        <v>1.017795269659536</v>
      </c>
      <c r="L20">
        <v>1.0196380685728199</v>
      </c>
      <c r="M20">
        <v>1.01801231124374</v>
      </c>
      <c r="N20">
        <v>1.01795019665523</v>
      </c>
      <c r="O20">
        <v>1.0227940264540201</v>
      </c>
      <c r="P20">
        <f t="shared" si="4"/>
        <v>103.01427566242758</v>
      </c>
      <c r="Q20">
        <f t="shared" si="5"/>
        <v>107.43374969385256</v>
      </c>
      <c r="R20">
        <f t="shared" si="6"/>
        <v>94.798968680390303</v>
      </c>
      <c r="S20">
        <f t="shared" si="7"/>
        <v>88.555260414377244</v>
      </c>
      <c r="T20">
        <f t="shared" si="8"/>
        <v>87.917582874756135</v>
      </c>
      <c r="U20">
        <f t="shared" si="9"/>
        <v>88.506800316439012</v>
      </c>
      <c r="V20">
        <f t="shared" si="10"/>
        <v>87.463970899285101</v>
      </c>
      <c r="AD20" s="16">
        <f t="shared" si="11"/>
        <v>1.5492699569397139E-4</v>
      </c>
      <c r="AE20" s="16">
        <f t="shared" si="15"/>
        <v>-6.8496813758284203E-3</v>
      </c>
      <c r="AF20" s="19">
        <v>20060426</v>
      </c>
      <c r="AG20" s="17">
        <v>1024.3699999999999</v>
      </c>
      <c r="AH20">
        <f t="shared" si="12"/>
        <v>1485.1148906777039</v>
      </c>
      <c r="AI20">
        <f t="shared" si="13"/>
        <v>1.0856712864170353</v>
      </c>
      <c r="AJ20">
        <f t="shared" si="14"/>
        <v>95.814422234601267</v>
      </c>
    </row>
    <row r="21" spans="1:36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1"/>
        <v>1.0036581676155898</v>
      </c>
      <c r="J21">
        <f t="shared" si="2"/>
        <v>1.010787594722012</v>
      </c>
      <c r="K21">
        <f t="shared" si="3"/>
        <v>1.031045902791911</v>
      </c>
      <c r="L21">
        <v>1.0304866486350901</v>
      </c>
      <c r="M21">
        <v>1.01255954974412</v>
      </c>
      <c r="N21">
        <v>1.0429037726550601</v>
      </c>
      <c r="O21">
        <v>1.00720787834091</v>
      </c>
      <c r="P21">
        <f t="shared" si="4"/>
        <v>103.39111914959931</v>
      </c>
      <c r="Q21">
        <f t="shared" si="5"/>
        <v>108.59270144501592</v>
      </c>
      <c r="R21">
        <f t="shared" si="6"/>
        <v>97.742088246815115</v>
      </c>
      <c r="S21">
        <f t="shared" si="7"/>
        <v>91.255013523419265</v>
      </c>
      <c r="T21">
        <f t="shared" si="8"/>
        <v>89.021788130254421</v>
      </c>
      <c r="U21">
        <f t="shared" si="9"/>
        <v>92.304075955642304</v>
      </c>
      <c r="V21">
        <f t="shared" si="10"/>
        <v>88.094400560740041</v>
      </c>
      <c r="AD21" s="16">
        <f t="shared" si="11"/>
        <v>1.1857869863149073E-2</v>
      </c>
      <c r="AE21" s="16">
        <f t="shared" si="15"/>
        <v>5.0081884873206528E-3</v>
      </c>
      <c r="AF21" s="19">
        <v>20060427</v>
      </c>
      <c r="AG21" s="18">
        <v>1024.49</v>
      </c>
      <c r="AH21">
        <f t="shared" si="12"/>
        <v>1548.487889326145</v>
      </c>
      <c r="AI21">
        <f t="shared" si="13"/>
        <v>1.0426721185318679</v>
      </c>
      <c r="AJ21">
        <f t="shared" si="14"/>
        <v>99.903026617258618</v>
      </c>
    </row>
    <row r="22" spans="1:36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1"/>
        <v>1.0518863615602447</v>
      </c>
      <c r="J22">
        <f t="shared" si="2"/>
        <v>1.0367266297385562</v>
      </c>
      <c r="K22">
        <f t="shared" si="3"/>
        <v>1.0562683558538353</v>
      </c>
      <c r="L22">
        <v>1.0733896198817301</v>
      </c>
      <c r="M22">
        <v>1.06848415044393</v>
      </c>
      <c r="N22">
        <v>1.0719576344919099</v>
      </c>
      <c r="O22">
        <v>1.06188322115839</v>
      </c>
      <c r="P22">
        <f t="shared" si="4"/>
        <v>108.75570813991376</v>
      </c>
      <c r="Q22">
        <f t="shared" si="5"/>
        <v>112.58094538329659</v>
      </c>
      <c r="R22">
        <f t="shared" si="6"/>
        <v>103.24187485018388</v>
      </c>
      <c r="S22">
        <f t="shared" si="7"/>
        <v>97.952184278205138</v>
      </c>
      <c r="T22">
        <f t="shared" si="8"/>
        <v>95.118369661354421</v>
      </c>
      <c r="U22">
        <f t="shared" si="9"/>
        <v>98.946058915371907</v>
      </c>
      <c r="V22">
        <f t="shared" si="10"/>
        <v>93.545965833456108</v>
      </c>
      <c r="AD22" s="16">
        <f t="shared" si="11"/>
        <v>1.5689278638074677E-2</v>
      </c>
      <c r="AE22" s="16">
        <f t="shared" si="15"/>
        <v>2.069746712539533E-2</v>
      </c>
      <c r="AF22" s="19">
        <v>20060428</v>
      </c>
      <c r="AG22" s="17">
        <v>1014.51</v>
      </c>
      <c r="AH22">
        <f t="shared" si="12"/>
        <v>1511.6862187517249</v>
      </c>
      <c r="AI22">
        <f t="shared" si="13"/>
        <v>0.97623380148589023</v>
      </c>
      <c r="AJ22">
        <f t="shared" si="14"/>
        <v>97.528711454512461</v>
      </c>
    </row>
    <row r="23" spans="1:36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1"/>
        <v>1.0720060790273556</v>
      </c>
      <c r="J23">
        <f t="shared" si="2"/>
        <v>1.0784914329472575</v>
      </c>
      <c r="K23">
        <f t="shared" si="3"/>
        <v>1.0930244410718735</v>
      </c>
      <c r="L23">
        <v>1.1089634021430199</v>
      </c>
      <c r="M23">
        <v>1.10790034594176</v>
      </c>
      <c r="N23">
        <v>1.12537553332417</v>
      </c>
      <c r="O23">
        <v>1.1261783128478799</v>
      </c>
      <c r="P23">
        <f t="shared" si="4"/>
        <v>116.58678025491241</v>
      </c>
      <c r="Q23">
        <f t="shared" si="5"/>
        <v>121.41758510898848</v>
      </c>
      <c r="R23">
        <f t="shared" si="6"/>
        <v>112.84589255333454</v>
      </c>
      <c r="S23">
        <f t="shared" si="7"/>
        <v>108.62538752449839</v>
      </c>
      <c r="T23">
        <f t="shared" si="8"/>
        <v>105.38167465323077</v>
      </c>
      <c r="U23">
        <f t="shared" si="9"/>
        <v>111.3514738222114</v>
      </c>
      <c r="V23">
        <f t="shared" si="10"/>
        <v>105.34943797604703</v>
      </c>
      <c r="AD23" s="16">
        <f t="shared" si="11"/>
        <v>3.2351092252296487E-2</v>
      </c>
      <c r="AE23" s="16">
        <f t="shared" si="15"/>
        <v>5.3048559377691817E-2</v>
      </c>
      <c r="AF23" s="19">
        <v>20060429</v>
      </c>
      <c r="AG23" s="17">
        <v>1014.45</v>
      </c>
      <c r="AH23">
        <f t="shared" si="12"/>
        <v>1652.6814515742819</v>
      </c>
      <c r="AI23">
        <f t="shared" si="13"/>
        <v>1.0932701714638795</v>
      </c>
      <c r="AJ23">
        <f t="shared" si="14"/>
        <v>106.62523109452607</v>
      </c>
    </row>
    <row r="24" spans="1:36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1"/>
        <v>1.0019766448074594</v>
      </c>
      <c r="J24">
        <f t="shared" si="2"/>
        <v>1.0140353566731486</v>
      </c>
      <c r="K24">
        <f t="shared" si="3"/>
        <v>1.0238841540812891</v>
      </c>
      <c r="L24">
        <v>0.973067349783591</v>
      </c>
      <c r="M24">
        <v>0.97301508336232101</v>
      </c>
      <c r="N24">
        <v>0.96736340707008805</v>
      </c>
      <c r="O24">
        <v>0.96842041447810001</v>
      </c>
      <c r="P24">
        <f t="shared" si="4"/>
        <v>116.8172309087217</v>
      </c>
      <c r="Q24">
        <f t="shared" si="5"/>
        <v>123.12172422238551</v>
      </c>
      <c r="R24">
        <f t="shared" si="6"/>
        <v>115.54112123851897</v>
      </c>
      <c r="S24">
        <f t="shared" si="7"/>
        <v>105.6998179576792</v>
      </c>
      <c r="T24">
        <f t="shared" si="8"/>
        <v>102.53795894757434</v>
      </c>
      <c r="U24">
        <f t="shared" si="9"/>
        <v>107.71734109893015</v>
      </c>
      <c r="V24">
        <f t="shared" si="10"/>
        <v>102.02254638979835</v>
      </c>
      <c r="AD24" s="16">
        <f t="shared" si="11"/>
        <v>-5.6520747011201022E-2</v>
      </c>
      <c r="AE24" s="16">
        <f t="shared" si="15"/>
        <v>-3.472187633509205E-3</v>
      </c>
      <c r="AF24" s="19">
        <v>20060430</v>
      </c>
      <c r="AG24" s="17">
        <v>1014.38</v>
      </c>
      <c r="AH24">
        <f t="shared" si="12"/>
        <v>1684.843994470539</v>
      </c>
      <c r="AI24">
        <f t="shared" si="13"/>
        <v>1.0194608240236618</v>
      </c>
      <c r="AJ24">
        <f t="shared" si="14"/>
        <v>108.70024595333891</v>
      </c>
    </row>
    <row r="25" spans="1:36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1"/>
        <v>1.0450820831867924</v>
      </c>
      <c r="J25">
        <f t="shared" si="2"/>
        <v>1.0630666831110032</v>
      </c>
      <c r="K25">
        <f t="shared" si="3"/>
        <v>1.0959595192915876</v>
      </c>
      <c r="L25">
        <v>1.0615283659136401</v>
      </c>
      <c r="M25">
        <v>1.0622508753259301</v>
      </c>
      <c r="N25">
        <v>1.05368009000178</v>
      </c>
      <c r="O25">
        <v>1.0532235761761499</v>
      </c>
      <c r="P25">
        <f t="shared" si="4"/>
        <v>122.08359503019943</v>
      </c>
      <c r="Q25">
        <f t="shared" si="5"/>
        <v>130.88660298799903</v>
      </c>
      <c r="R25">
        <f t="shared" si="6"/>
        <v>126.62839169097829</v>
      </c>
      <c r="S25">
        <f t="shared" si="7"/>
        <v>112.20335503398444</v>
      </c>
      <c r="T25">
        <f t="shared" si="8"/>
        <v>108.92103664619513</v>
      </c>
      <c r="U25">
        <f t="shared" si="9"/>
        <v>113.49961766387315</v>
      </c>
      <c r="V25">
        <f t="shared" si="10"/>
        <v>107.45255115926057</v>
      </c>
      <c r="AD25" s="16">
        <f t="shared" si="11"/>
        <v>-4.2279429289807657E-2</v>
      </c>
      <c r="AE25" s="16">
        <f t="shared" si="15"/>
        <v>-4.5751616923316862E-2</v>
      </c>
      <c r="AF25" s="19">
        <v>20060501</v>
      </c>
      <c r="AG25" s="17">
        <v>1014.32</v>
      </c>
      <c r="AH25">
        <f t="shared" si="12"/>
        <v>1777.465882276942</v>
      </c>
      <c r="AI25">
        <f t="shared" si="13"/>
        <v>1.0549735691318467</v>
      </c>
      <c r="AJ25">
        <f t="shared" si="14"/>
        <v>114.67588643890352</v>
      </c>
    </row>
    <row r="26" spans="1:36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1"/>
        <v>0.90503359468983413</v>
      </c>
      <c r="J26">
        <f t="shared" si="2"/>
        <v>0.88140191987425387</v>
      </c>
      <c r="K26">
        <f t="shared" si="3"/>
        <v>0.8719510224434297</v>
      </c>
      <c r="L26">
        <v>0.98253037094314</v>
      </c>
      <c r="M26">
        <v>0.98945970976002695</v>
      </c>
      <c r="N26">
        <v>0.98780362283073198</v>
      </c>
      <c r="O26">
        <v>0.98797970771334798</v>
      </c>
      <c r="P26">
        <f t="shared" si="4"/>
        <v>110.48975486283936</v>
      </c>
      <c r="Q26">
        <f t="shared" si="5"/>
        <v>115.3637031594416</v>
      </c>
      <c r="R26">
        <f t="shared" si="6"/>
        <v>110.41375560531561</v>
      </c>
      <c r="S26">
        <f t="shared" si="7"/>
        <v>110.24320404260557</v>
      </c>
      <c r="T26">
        <f t="shared" si="8"/>
        <v>107.7729773067055</v>
      </c>
      <c r="U26">
        <f t="shared" si="9"/>
        <v>112.11533351827684</v>
      </c>
      <c r="V26">
        <f t="shared" si="10"/>
        <v>106.16094008737983</v>
      </c>
      <c r="AD26" s="16">
        <f t="shared" si="11"/>
        <v>0.11585260038730227</v>
      </c>
      <c r="AE26" s="16">
        <f t="shared" si="15"/>
        <v>7.0100983463985411E-2</v>
      </c>
      <c r="AF26" s="19">
        <v>20060502</v>
      </c>
      <c r="AG26" s="18">
        <v>1024.47</v>
      </c>
      <c r="AH26">
        <f t="shared" si="12"/>
        <v>1689.998316892488</v>
      </c>
      <c r="AI26">
        <f t="shared" si="13"/>
        <v>0.95079086115992972</v>
      </c>
      <c r="AJ26">
        <f t="shared" si="14"/>
        <v>109.03278482152338</v>
      </c>
    </row>
    <row r="27" spans="1:36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1"/>
        <v>0.94379241960576488</v>
      </c>
      <c r="J27">
        <f t="shared" si="2"/>
        <v>1.0113113814406725</v>
      </c>
      <c r="K27">
        <f t="shared" si="3"/>
        <v>0.9920203330597549</v>
      </c>
      <c r="L27">
        <v>0.89609683760181302</v>
      </c>
      <c r="M27">
        <v>0.89755836033376901</v>
      </c>
      <c r="N27">
        <v>0.90876158969599397</v>
      </c>
      <c r="O27">
        <v>0.90861289986582605</v>
      </c>
      <c r="P27">
        <f t="shared" si="4"/>
        <v>104.27939308364699</v>
      </c>
      <c r="Q27">
        <f t="shared" si="5"/>
        <v>116.66862601028656</v>
      </c>
      <c r="R27">
        <f t="shared" si="6"/>
        <v>109.53269060996358</v>
      </c>
      <c r="S27">
        <f t="shared" si="7"/>
        <v>98.788586509670253</v>
      </c>
      <c r="T27">
        <f t="shared" si="8"/>
        <v>96.732536799695083</v>
      </c>
      <c r="U27">
        <f t="shared" si="9"/>
        <v>101.88610871736581</v>
      </c>
      <c r="V27">
        <f t="shared" si="10"/>
        <v>96.459199625276412</v>
      </c>
      <c r="AD27" s="16">
        <f t="shared" si="11"/>
        <v>-8.3258743363760934E-2</v>
      </c>
      <c r="AE27" s="16">
        <f t="shared" si="15"/>
        <v>-1.3157759899775523E-2</v>
      </c>
      <c r="AF27" s="19">
        <v>20060503</v>
      </c>
      <c r="AG27" s="17">
        <v>1033.47</v>
      </c>
      <c r="AH27">
        <f t="shared" si="12"/>
        <v>1702.942511195072</v>
      </c>
      <c r="AI27">
        <f t="shared" si="13"/>
        <v>1.007659294197633</v>
      </c>
      <c r="AJ27">
        <f t="shared" si="14"/>
        <v>109.86789899765864</v>
      </c>
    </row>
    <row r="28" spans="1:36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1"/>
        <v>1.0956611916439105</v>
      </c>
      <c r="J28">
        <f t="shared" si="2"/>
        <v>1.1141746333639826</v>
      </c>
      <c r="K28">
        <f t="shared" si="3"/>
        <v>1.1031929884493028</v>
      </c>
      <c r="L28">
        <v>1.1557655997393199</v>
      </c>
      <c r="M28">
        <v>1.1462400220679001</v>
      </c>
      <c r="N28">
        <v>1.1529398058408</v>
      </c>
      <c r="O28">
        <v>1.1491615896972001</v>
      </c>
      <c r="P28">
        <f t="shared" si="4"/>
        <v>114.25488408993243</v>
      </c>
      <c r="Q28">
        <f t="shared" si="5"/>
        <v>129.98922361009062</v>
      </c>
      <c r="R28">
        <f t="shared" si="6"/>
        <v>120.83569628689861</v>
      </c>
      <c r="S28">
        <f t="shared" si="7"/>
        <v>114.17644993474873</v>
      </c>
      <c r="T28">
        <f t="shared" si="8"/>
        <v>110.87870511596645</v>
      </c>
      <c r="U28">
        <f t="shared" si="9"/>
        <v>117.46855040247439</v>
      </c>
      <c r="V28">
        <f t="shared" si="10"/>
        <v>110.8472071823022</v>
      </c>
      <c r="AD28" s="16">
        <f t="shared" si="11"/>
        <v>4.9746817391497222E-2</v>
      </c>
      <c r="AE28" s="16">
        <f t="shared" si="15"/>
        <v>3.6589057491721699E-2</v>
      </c>
      <c r="AF28" s="19">
        <v>20060504</v>
      </c>
      <c r="AG28" s="17">
        <v>1039.0899999999999</v>
      </c>
      <c r="AH28">
        <f t="shared" si="12"/>
        <v>1847.465068942374</v>
      </c>
      <c r="AI28">
        <f t="shared" si="13"/>
        <v>1.0848663749934111</v>
      </c>
      <c r="AJ28">
        <f t="shared" si="14"/>
        <v>119.19198931373215</v>
      </c>
    </row>
    <row r="29" spans="1:36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1"/>
        <v>0.8685486370869413</v>
      </c>
      <c r="J29">
        <f t="shared" si="2"/>
        <v>0.87198019391573367</v>
      </c>
      <c r="K29">
        <f t="shared" si="3"/>
        <v>0.91691060136151847</v>
      </c>
      <c r="L29">
        <v>0.84384191913066497</v>
      </c>
      <c r="M29">
        <v>0.84488041679013304</v>
      </c>
      <c r="N29">
        <v>0.84589664578491397</v>
      </c>
      <c r="O29">
        <v>0.84499473404203296</v>
      </c>
      <c r="P29">
        <f t="shared" si="4"/>
        <v>99.23592385683726</v>
      </c>
      <c r="Q29">
        <f t="shared" si="5"/>
        <v>113.34802841048248</v>
      </c>
      <c r="R29">
        <f t="shared" si="6"/>
        <v>110.79553094835801</v>
      </c>
      <c r="S29">
        <f t="shared" si="7"/>
        <v>96.346874632464662</v>
      </c>
      <c r="T29">
        <f t="shared" si="8"/>
        <v>93.679246591527999</v>
      </c>
      <c r="U29">
        <f t="shared" si="9"/>
        <v>99.366252770669192</v>
      </c>
      <c r="V29">
        <f t="shared" si="10"/>
        <v>93.665306352311575</v>
      </c>
      <c r="AD29" s="16">
        <f t="shared" si="11"/>
        <v>-7.1013955576604504E-2</v>
      </c>
      <c r="AE29" s="16">
        <f t="shared" si="15"/>
        <v>-3.4424898084882805E-2</v>
      </c>
      <c r="AF29" s="19">
        <v>20060505</v>
      </c>
      <c r="AG29" s="17">
        <v>1039.01</v>
      </c>
      <c r="AH29">
        <f t="shared" si="12"/>
        <v>1676.174420064485</v>
      </c>
      <c r="AI29">
        <f t="shared" si="13"/>
        <v>0.90728341674359858</v>
      </c>
      <c r="AJ29">
        <f t="shared" si="14"/>
        <v>108.1409153130294</v>
      </c>
    </row>
    <row r="30" spans="1:36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1"/>
        <v>1.0519080046254656</v>
      </c>
      <c r="J30">
        <f t="shared" si="2"/>
        <v>1.0404062229904927</v>
      </c>
      <c r="K30">
        <f t="shared" si="3"/>
        <v>1.027597779513266</v>
      </c>
      <c r="L30">
        <v>1.0709291260301199</v>
      </c>
      <c r="M30">
        <v>1.0673711403055</v>
      </c>
      <c r="N30">
        <v>1.0702919398536399</v>
      </c>
      <c r="O30">
        <v>1.0700285118942301</v>
      </c>
      <c r="P30">
        <f t="shared" si="4"/>
        <v>104.38706265141032</v>
      </c>
      <c r="Q30">
        <f t="shared" si="5"/>
        <v>117.92799412196914</v>
      </c>
      <c r="R30">
        <f t="shared" si="6"/>
        <v>113.85324158252604</v>
      </c>
      <c r="S30">
        <f t="shared" si="7"/>
        <v>103.1806742458789</v>
      </c>
      <c r="T30">
        <f t="shared" si="8"/>
        <v>99.990524257359354</v>
      </c>
      <c r="U30">
        <f t="shared" si="9"/>
        <v>106.35089943390665</v>
      </c>
      <c r="V30">
        <f t="shared" si="10"/>
        <v>100.22454837228113</v>
      </c>
      <c r="AD30" s="16">
        <f t="shared" si="11"/>
        <v>4.2694160340373877E-2</v>
      </c>
      <c r="AE30" s="16">
        <f t="shared" si="15"/>
        <v>8.2692622554910722E-3</v>
      </c>
      <c r="AF30" s="19">
        <v>20060506</v>
      </c>
      <c r="AG30" s="17">
        <v>1038.94</v>
      </c>
      <c r="AH30">
        <f t="shared" si="12"/>
        <v>1814.144091653058</v>
      </c>
      <c r="AI30">
        <f t="shared" si="13"/>
        <v>1.0823122402639129</v>
      </c>
      <c r="AJ30">
        <f t="shared" si="14"/>
        <v>117.04223631663493</v>
      </c>
    </row>
    <row r="31" spans="1:36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1"/>
        <v>1.0028545707060428</v>
      </c>
      <c r="J31">
        <f t="shared" si="2"/>
        <v>0.99885358255451706</v>
      </c>
      <c r="K31">
        <f t="shared" si="3"/>
        <v>1.0151023426347194</v>
      </c>
      <c r="L31">
        <v>1.05395823632243</v>
      </c>
      <c r="M31">
        <v>1.05545104496016</v>
      </c>
      <c r="N31">
        <v>1.0582429065374099</v>
      </c>
      <c r="O31">
        <v>1.0537162132672699</v>
      </c>
      <c r="P31">
        <f t="shared" si="4"/>
        <v>104.68504290254489</v>
      </c>
      <c r="Q31">
        <f t="shared" si="5"/>
        <v>117.7927994121969</v>
      </c>
      <c r="R31">
        <f t="shared" si="6"/>
        <v>115.57269224697883</v>
      </c>
      <c r="S31">
        <f t="shared" si="7"/>
        <v>108.74812145074571</v>
      </c>
      <c r="T31">
        <f t="shared" si="8"/>
        <v>105.53510331354416</v>
      </c>
      <c r="U31">
        <f t="shared" si="9"/>
        <v>112.54508492980516</v>
      </c>
      <c r="V31">
        <f t="shared" si="10"/>
        <v>105.6082315872624</v>
      </c>
      <c r="AD31" s="16">
        <f t="shared" si="11"/>
        <v>4.3140563902690499E-2</v>
      </c>
      <c r="AE31" s="16">
        <f t="shared" si="15"/>
        <v>5.1409826158181571E-2</v>
      </c>
      <c r="AF31" s="19">
        <v>20060507</v>
      </c>
      <c r="AG31" s="18">
        <v>1038.8699999999999</v>
      </c>
      <c r="AH31">
        <f t="shared" si="12"/>
        <v>2052.1305544478701</v>
      </c>
      <c r="AI31">
        <f t="shared" si="13"/>
        <v>1.1311838810873933</v>
      </c>
      <c r="AJ31">
        <f t="shared" si="14"/>
        <v>132.39629112779895</v>
      </c>
    </row>
    <row r="32" spans="1:36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1"/>
        <v>1.0639841212558641</v>
      </c>
      <c r="J32">
        <f t="shared" si="2"/>
        <v>1.0522759217212672</v>
      </c>
      <c r="K32">
        <f t="shared" si="3"/>
        <v>1.0512244598566365</v>
      </c>
      <c r="L32">
        <v>1.0900256776971999</v>
      </c>
      <c r="M32">
        <v>1.0818924483179999</v>
      </c>
      <c r="N32">
        <v>1.0868776422156901</v>
      </c>
      <c r="O32">
        <v>1.0822568987346901</v>
      </c>
      <c r="P32">
        <f t="shared" si="4"/>
        <v>111.38322338129666</v>
      </c>
      <c r="Q32">
        <f t="shared" si="5"/>
        <v>123.95052657359783</v>
      </c>
      <c r="R32">
        <f t="shared" si="6"/>
        <v>121.4928409815076</v>
      </c>
      <c r="S32">
        <f t="shared" si="7"/>
        <v>118.5382447826465</v>
      </c>
      <c r="T32">
        <f t="shared" si="8"/>
        <v>114.17763130738335</v>
      </c>
      <c r="U32">
        <f t="shared" si="9"/>
        <v>122.32273655147122</v>
      </c>
      <c r="V32">
        <f t="shared" si="10"/>
        <v>114.29523719848554</v>
      </c>
      <c r="AD32" s="16">
        <f t="shared" si="11"/>
        <v>3.565318235905357E-2</v>
      </c>
      <c r="AE32" s="16">
        <f t="shared" si="15"/>
        <v>8.7063008517235141E-2</v>
      </c>
      <c r="AF32" s="19">
        <v>20060508</v>
      </c>
      <c r="AG32" s="17">
        <v>1044.3699999999999</v>
      </c>
      <c r="AH32">
        <f t="shared" si="12"/>
        <v>2230.7819795588521</v>
      </c>
      <c r="AI32">
        <f t="shared" si="13"/>
        <v>1.0870565592056343</v>
      </c>
      <c r="AJ32">
        <f t="shared" si="14"/>
        <v>143.92225668497255</v>
      </c>
    </row>
    <row r="33" spans="1:37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1"/>
        <v>0.97253502018112148</v>
      </c>
      <c r="J33">
        <f t="shared" si="2"/>
        <v>0.97832796538165157</v>
      </c>
      <c r="K33">
        <f t="shared" si="3"/>
        <v>0.9859868626837659</v>
      </c>
      <c r="L33">
        <v>1.10106236590951</v>
      </c>
      <c r="M33">
        <v>1.09831149366809</v>
      </c>
      <c r="N33">
        <v>1.10182721857557</v>
      </c>
      <c r="O33">
        <v>1.1037542131973599</v>
      </c>
      <c r="P33">
        <f t="shared" si="4"/>
        <v>108.32408539896771</v>
      </c>
      <c r="Q33">
        <f t="shared" si="5"/>
        <v>121.2642664707323</v>
      </c>
      <c r="R33">
        <f t="shared" si="6"/>
        <v>119.79034511789433</v>
      </c>
      <c r="S33">
        <f t="shared" si="7"/>
        <v>130.51800025114139</v>
      </c>
      <c r="T33">
        <f t="shared" si="8"/>
        <v>125.40260478469668</v>
      </c>
      <c r="U33">
        <f t="shared" si="9"/>
        <v>134.77852058305976</v>
      </c>
      <c r="V33">
        <f t="shared" si="10"/>
        <v>126.15384960622002</v>
      </c>
      <c r="AD33" s="16">
        <f t="shared" si="11"/>
        <v>0.11584035589180408</v>
      </c>
      <c r="AE33" s="16">
        <f t="shared" si="15"/>
        <v>0.20290336440903922</v>
      </c>
      <c r="AF33" s="19">
        <v>20060509</v>
      </c>
      <c r="AG33" s="17">
        <v>1044.3699999999999</v>
      </c>
      <c r="AH33">
        <f t="shared" si="12"/>
        <v>2424.185226802218</v>
      </c>
      <c r="AI33">
        <f t="shared" si="13"/>
        <v>1.0866975119108737</v>
      </c>
      <c r="AJ33">
        <f t="shared" si="14"/>
        <v>156.39995824815779</v>
      </c>
    </row>
    <row r="34" spans="1:37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1"/>
        <v>0.99315128211835069</v>
      </c>
      <c r="J34">
        <f t="shared" si="2"/>
        <v>0.997964138131612</v>
      </c>
      <c r="K34">
        <f t="shared" si="3"/>
        <v>0.96169220031919112</v>
      </c>
      <c r="L34">
        <v>0.96909098916464398</v>
      </c>
      <c r="M34">
        <v>0.96877457117483701</v>
      </c>
      <c r="N34">
        <v>0.96757242651707998</v>
      </c>
      <c r="O34">
        <v>0.96850066032937898</v>
      </c>
      <c r="P34">
        <f t="shared" si="4"/>
        <v>107.58220429828249</v>
      </c>
      <c r="Q34">
        <f t="shared" si="5"/>
        <v>121.01738917462649</v>
      </c>
      <c r="R34">
        <f t="shared" si="6"/>
        <v>115.20144057342307</v>
      </c>
      <c r="S34">
        <f t="shared" si="7"/>
        <v>126.48381796716986</v>
      </c>
      <c r="T34">
        <f t="shared" si="8"/>
        <v>121.48685467450208</v>
      </c>
      <c r="U34">
        <f t="shared" si="9"/>
        <v>130.40798020293335</v>
      </c>
      <c r="V34">
        <f t="shared" si="10"/>
        <v>122.18008664671726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1"/>
        <v>5.8802261978888604E-3</v>
      </c>
      <c r="AE34" s="16">
        <f t="shared" si="15"/>
        <v>0.20878359060692808</v>
      </c>
      <c r="AF34" s="19">
        <v>20060510</v>
      </c>
      <c r="AG34" s="17">
        <v>1046.3800000000001</v>
      </c>
      <c r="AH34">
        <f t="shared" si="12"/>
        <v>2358.1008377379399</v>
      </c>
      <c r="AI34">
        <f t="shared" si="13"/>
        <v>0.97273954632936566</v>
      </c>
      <c r="AJ34">
        <f t="shared" si="14"/>
        <v>152.13642443224472</v>
      </c>
    </row>
    <row r="35" spans="1:37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1"/>
        <v>1.035844874130325</v>
      </c>
      <c r="J35">
        <f t="shared" si="2"/>
        <v>1.0382502823235125</v>
      </c>
      <c r="K35">
        <f t="shared" si="3"/>
        <v>1.0674316396337873</v>
      </c>
      <c r="L35">
        <v>1.0389155364210001</v>
      </c>
      <c r="M35">
        <v>1.042524644849</v>
      </c>
      <c r="N35">
        <v>1.0317375336002701</v>
      </c>
      <c r="O35">
        <v>1.0325009992179801</v>
      </c>
      <c r="P35">
        <f t="shared" si="4"/>
        <v>111.43847487001733</v>
      </c>
      <c r="Q35">
        <f t="shared" si="5"/>
        <v>125.64633847661032</v>
      </c>
      <c r="R35">
        <f t="shared" si="6"/>
        <v>122.96966259946329</v>
      </c>
      <c r="S35">
        <f t="shared" si="7"/>
        <v>131.4060035919384</v>
      </c>
      <c r="T35">
        <f t="shared" si="8"/>
        <v>126.65304002335736</v>
      </c>
      <c r="U35">
        <f t="shared" si="9"/>
        <v>134.54680785636731</v>
      </c>
      <c r="V35">
        <f t="shared" si="10"/>
        <v>126.15106154727495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1"/>
        <v>-3.5694106033517192E-2</v>
      </c>
      <c r="AE35" s="16">
        <f t="shared" si="15"/>
        <v>0.17308948457341089</v>
      </c>
      <c r="AF35" s="19">
        <v>20060511</v>
      </c>
      <c r="AG35" s="17">
        <v>1058.74</v>
      </c>
      <c r="AH35">
        <f t="shared" si="12"/>
        <v>2514.6653632871321</v>
      </c>
      <c r="AI35">
        <f t="shared" si="13"/>
        <v>1.0663943301506056</v>
      </c>
      <c r="AJ35">
        <f t="shared" si="14"/>
        <v>162.23742042393184</v>
      </c>
      <c r="AK35">
        <v>100</v>
      </c>
    </row>
    <row r="36" spans="1:37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1"/>
        <v>0.95954759069586104</v>
      </c>
      <c r="J36">
        <f t="shared" si="2"/>
        <v>0.96156830028030404</v>
      </c>
      <c r="K36">
        <f t="shared" si="3"/>
        <v>0.96445126966543215</v>
      </c>
      <c r="L36">
        <v>1.0410798471377301</v>
      </c>
      <c r="M36">
        <v>1.04040941298047</v>
      </c>
      <c r="N36">
        <v>1.0430441965002699</v>
      </c>
      <c r="O36">
        <v>1.0426214380385801</v>
      </c>
      <c r="P36">
        <f t="shared" si="4"/>
        <v>106.93052007234638</v>
      </c>
      <c r="Q36">
        <f t="shared" si="5"/>
        <v>120.81753612539795</v>
      </c>
      <c r="R36">
        <f t="shared" si="6"/>
        <v>118.59824722438218</v>
      </c>
      <c r="S36">
        <f t="shared" si="7"/>
        <v>136.80414213247525</v>
      </c>
      <c r="T36">
        <f t="shared" si="8"/>
        <v>131.77101502289321</v>
      </c>
      <c r="U36">
        <f t="shared" si="9"/>
        <v>140.33826709222083</v>
      </c>
      <c r="V36">
        <f t="shared" si="10"/>
        <v>131.52780120051324</v>
      </c>
      <c r="W36">
        <f>W35*I36</f>
        <v>95.954759069586103</v>
      </c>
      <c r="X36">
        <f t="shared" ref="X36:AC36" si="16">X35*J36</f>
        <v>96.156830028030399</v>
      </c>
      <c r="Y36">
        <f t="shared" si="16"/>
        <v>96.445126966543214</v>
      </c>
      <c r="Z36">
        <f t="shared" si="16"/>
        <v>104.10798471377301</v>
      </c>
      <c r="AA36">
        <f t="shared" si="16"/>
        <v>104.040941298047</v>
      </c>
      <c r="AB36">
        <f t="shared" si="16"/>
        <v>104.30441965002699</v>
      </c>
      <c r="AC36">
        <f t="shared" si="16"/>
        <v>104.26214380385801</v>
      </c>
      <c r="AD36" s="16">
        <f t="shared" si="11"/>
        <v>7.8592926834837762E-2</v>
      </c>
      <c r="AE36" s="16">
        <f t="shared" si="15"/>
        <v>0.25168241140824865</v>
      </c>
      <c r="AF36" s="19">
        <v>20060512</v>
      </c>
      <c r="AG36" s="18">
        <v>1051.81</v>
      </c>
      <c r="AH36">
        <f t="shared" si="12"/>
        <v>2578.1035913562118</v>
      </c>
      <c r="AI36">
        <f t="shared" si="13"/>
        <v>1.0252273041953202</v>
      </c>
      <c r="AJ36">
        <f t="shared" si="14"/>
        <v>166.33023318083042</v>
      </c>
      <c r="AK36">
        <f>AK35*AI36</f>
        <v>102.52273041953201</v>
      </c>
    </row>
    <row r="37" spans="1:37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1"/>
        <v>1.0015721951111798</v>
      </c>
      <c r="J37">
        <f t="shared" si="2"/>
        <v>0.99225214778896342</v>
      </c>
      <c r="K37">
        <f t="shared" si="3"/>
        <v>1.0098987449101324</v>
      </c>
      <c r="L37">
        <v>1.0737002465499501</v>
      </c>
      <c r="M37">
        <v>1.0759679211223101</v>
      </c>
      <c r="N37">
        <v>1.0779150316197399</v>
      </c>
      <c r="O37">
        <v>1.08052018611309</v>
      </c>
      <c r="P37">
        <f t="shared" si="4"/>
        <v>107.09863571324004</v>
      </c>
      <c r="Q37">
        <f t="shared" si="5"/>
        <v>119.88145971099679</v>
      </c>
      <c r="R37">
        <f t="shared" si="6"/>
        <v>119.77222102044516</v>
      </c>
      <c r="S37">
        <f t="shared" si="7"/>
        <v>146.8866411366931</v>
      </c>
      <c r="T37">
        <f t="shared" si="8"/>
        <v>141.7813850983591</v>
      </c>
      <c r="U37">
        <f t="shared" si="9"/>
        <v>151.27272761017073</v>
      </c>
      <c r="V37">
        <f t="shared" si="10"/>
        <v>142.11844423222405</v>
      </c>
      <c r="W37">
        <f t="shared" ref="W37:W50" si="17">W36*I37</f>
        <v>96.105618672689744</v>
      </c>
      <c r="X37">
        <f t="shared" ref="X37:X50" si="18">X36*J37</f>
        <v>95.411821119891457</v>
      </c>
      <c r="Y37">
        <f t="shared" ref="Y37:Y50" si="19">Y36*K37</f>
        <v>97.39981267621036</v>
      </c>
      <c r="Z37">
        <f t="shared" ref="Z37:Z50" si="20">Z36*L37</f>
        <v>111.78076885499651</v>
      </c>
      <c r="AA37">
        <f t="shared" ref="AA37:AA50" si="21">AA36*M37</f>
        <v>111.94471532006793</v>
      </c>
      <c r="AB37">
        <f t="shared" ref="AB37:AB50" si="22">AB36*N37</f>
        <v>112.43130180513745</v>
      </c>
      <c r="AC37">
        <f t="shared" ref="AC37:AC50" si="23">AC36*O37</f>
        <v>112.65735102749441</v>
      </c>
      <c r="AD37" s="16">
        <f t="shared" si="11"/>
        <v>6.8016286709607465E-2</v>
      </c>
      <c r="AE37" s="16">
        <f t="shared" si="15"/>
        <v>0.31969869811785612</v>
      </c>
      <c r="AF37" s="19">
        <v>20060513</v>
      </c>
      <c r="AG37" s="17">
        <v>1051.74</v>
      </c>
      <c r="AH37">
        <f t="shared" si="12"/>
        <v>2636.5932291057979</v>
      </c>
      <c r="AI37">
        <f t="shared" si="13"/>
        <v>1.0226870781863415</v>
      </c>
      <c r="AJ37">
        <f t="shared" si="14"/>
        <v>170.10378018575634</v>
      </c>
      <c r="AK37">
        <f t="shared" ref="AK37:AK49" si="24">AK36*AI37</f>
        <v>104.84867162043714</v>
      </c>
    </row>
    <row r="38" spans="1:37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1"/>
        <v>1.082741378626136</v>
      </c>
      <c r="J38">
        <f t="shared" si="2"/>
        <v>1.0579272528172985</v>
      </c>
      <c r="K38">
        <f t="shared" si="3"/>
        <v>1.0272476105866388</v>
      </c>
      <c r="L38">
        <v>1.10084328637249</v>
      </c>
      <c r="M38">
        <v>1.10543433299642</v>
      </c>
      <c r="N38">
        <v>1.10015208398095</v>
      </c>
      <c r="O38">
        <v>1.1074795784200699</v>
      </c>
      <c r="P38">
        <f t="shared" si="4"/>
        <v>115.96012448113184</v>
      </c>
      <c r="Q38">
        <f t="shared" si="5"/>
        <v>126.82586333578249</v>
      </c>
      <c r="R38">
        <f t="shared" si="6"/>
        <v>123.03572785790709</v>
      </c>
      <c r="S38">
        <f t="shared" si="7"/>
        <v>161.69917275313381</v>
      </c>
      <c r="T38">
        <f t="shared" si="8"/>
        <v>156.73001086751316</v>
      </c>
      <c r="U38">
        <f t="shared" si="9"/>
        <v>166.42300652981191</v>
      </c>
      <c r="V38">
        <f t="shared" si="10"/>
        <v>157.39327470401972</v>
      </c>
      <c r="W38">
        <f t="shared" si="17"/>
        <v>104.05753005538581</v>
      </c>
      <c r="X38">
        <f t="shared" si="18"/>
        <v>100.93876580366226</v>
      </c>
      <c r="Y38">
        <f t="shared" si="19"/>
        <v>100.05372484322331</v>
      </c>
      <c r="Z38">
        <f t="shared" si="20"/>
        <v>123.05310893957802</v>
      </c>
      <c r="AA38">
        <f t="shared" si="21"/>
        <v>123.74753171231342</v>
      </c>
      <c r="AB38">
        <f t="shared" si="22"/>
        <v>123.69153098561311</v>
      </c>
      <c r="AC38">
        <f t="shared" si="23"/>
        <v>124.76571562185134</v>
      </c>
      <c r="AD38" s="16">
        <f t="shared" si="11"/>
        <v>7.2904473394311164E-2</v>
      </c>
      <c r="AE38" s="16">
        <f t="shared" si="15"/>
        <v>0.39260317151216728</v>
      </c>
      <c r="AF38" s="19">
        <v>20060514</v>
      </c>
      <c r="AG38" s="17">
        <v>1051.67</v>
      </c>
      <c r="AH38">
        <f t="shared" si="12"/>
        <v>2752.8648635892209</v>
      </c>
      <c r="AI38">
        <f t="shared" si="13"/>
        <v>1.0440991933074395</v>
      </c>
      <c r="AJ38">
        <f t="shared" si="14"/>
        <v>177.60521967049419</v>
      </c>
      <c r="AK38">
        <f t="shared" si="24"/>
        <v>109.47241345825505</v>
      </c>
    </row>
    <row r="39" spans="1:37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1"/>
        <v>0.9488792780465557</v>
      </c>
      <c r="J39">
        <f t="shared" si="2"/>
        <v>0.93639611455496963</v>
      </c>
      <c r="K39">
        <f t="shared" si="3"/>
        <v>0.95405428522552316</v>
      </c>
      <c r="L39">
        <v>0.940114461488468</v>
      </c>
      <c r="M39">
        <v>0.93835531344340295</v>
      </c>
      <c r="N39">
        <v>0.94409041349919398</v>
      </c>
      <c r="O39">
        <v>0.94690900467148098</v>
      </c>
      <c r="P39">
        <f t="shared" si="4"/>
        <v>110.03215919984511</v>
      </c>
      <c r="Q39">
        <f t="shared" si="5"/>
        <v>118.7592456527063</v>
      </c>
      <c r="R39">
        <f t="shared" si="6"/>
        <v>117.38276339867754</v>
      </c>
      <c r="S39">
        <f t="shared" si="7"/>
        <v>152.01573071594314</v>
      </c>
      <c r="T39">
        <f t="shared" si="8"/>
        <v>147.06843847357325</v>
      </c>
      <c r="U39">
        <f t="shared" si="9"/>
        <v>157.1183650505092</v>
      </c>
      <c r="V39">
        <f t="shared" si="10"/>
        <v>149.03710909196829</v>
      </c>
      <c r="W39">
        <f t="shared" si="17"/>
        <v>98.738033994262253</v>
      </c>
      <c r="X39">
        <f t="shared" si="18"/>
        <v>94.518668106523378</v>
      </c>
      <c r="Y39">
        <f t="shared" si="19"/>
        <v>95.456684939452586</v>
      </c>
      <c r="Z39">
        <f t="shared" si="20"/>
        <v>115.68400724521318</v>
      </c>
      <c r="AA39">
        <f t="shared" si="21"/>
        <v>116.1191539077553</v>
      </c>
      <c r="AB39">
        <f t="shared" si="22"/>
        <v>116.77598863455584</v>
      </c>
      <c r="AC39">
        <f t="shared" si="23"/>
        <v>118.1417795966123</v>
      </c>
      <c r="AD39" s="16">
        <f t="shared" si="11"/>
        <v>-9.9638717263291765E-3</v>
      </c>
      <c r="AE39" s="16">
        <f t="shared" si="15"/>
        <v>0.38263929978583811</v>
      </c>
      <c r="AF39" s="19">
        <v>20060515</v>
      </c>
      <c r="AG39" s="17">
        <v>1041.29</v>
      </c>
      <c r="AH39">
        <f t="shared" si="12"/>
        <v>2604.1905197669221</v>
      </c>
      <c r="AI39">
        <f t="shared" si="13"/>
        <v>0.94599286518247205</v>
      </c>
      <c r="AJ39">
        <f t="shared" si="14"/>
        <v>168.01327062745315</v>
      </c>
      <c r="AK39">
        <f t="shared" si="24"/>
        <v>103.56012206581491</v>
      </c>
    </row>
    <row r="40" spans="1:37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1"/>
        <v>0.98378132470397361</v>
      </c>
      <c r="J40">
        <f t="shared" si="2"/>
        <v>0.98096078730609171</v>
      </c>
      <c r="K40">
        <f t="shared" si="3"/>
        <v>0.99826671647366449</v>
      </c>
      <c r="L40">
        <v>1.0653195897966501</v>
      </c>
      <c r="M40">
        <v>1.06093449349196</v>
      </c>
      <c r="N40">
        <v>1.07294013402916</v>
      </c>
      <c r="O40">
        <v>1.0724454362034499</v>
      </c>
      <c r="P40">
        <f t="shared" si="4"/>
        <v>108.24758333766214</v>
      </c>
      <c r="Q40">
        <f t="shared" si="5"/>
        <v>116.49816311535632</v>
      </c>
      <c r="R40">
        <f t="shared" si="6"/>
        <v>117.17930578860287</v>
      </c>
      <c r="S40">
        <f t="shared" si="7"/>
        <v>161.94533588894657</v>
      </c>
      <c r="T40">
        <f t="shared" si="8"/>
        <v>156.02997928061393</v>
      </c>
      <c r="U40">
        <f t="shared" si="9"/>
        <v>168.57859965573581</v>
      </c>
      <c r="V40">
        <f t="shared" si="10"/>
        <v>159.83416747063708</v>
      </c>
      <c r="W40">
        <f t="shared" si="17"/>
        <v>97.1366338815413</v>
      </c>
      <c r="X40">
        <f t="shared" si="18"/>
        <v>92.719107080898354</v>
      </c>
      <c r="Y40">
        <f t="shared" si="19"/>
        <v>95.291231439968428</v>
      </c>
      <c r="Z40">
        <f t="shared" si="20"/>
        <v>123.2404391445032</v>
      </c>
      <c r="AA40">
        <f t="shared" si="21"/>
        <v>123.19481573583933</v>
      </c>
      <c r="AB40">
        <f t="shared" si="22"/>
        <v>125.29364489694801</v>
      </c>
      <c r="AC40">
        <f t="shared" si="23"/>
        <v>126.70061235334072</v>
      </c>
      <c r="AD40" s="16">
        <f t="shared" si="11"/>
        <v>7.4673417555495503E-2</v>
      </c>
      <c r="AE40" s="16">
        <f t="shared" si="15"/>
        <v>0.45731271734133361</v>
      </c>
      <c r="AF40" s="19">
        <v>20060516</v>
      </c>
      <c r="AG40" s="17">
        <v>1031.6300000000001</v>
      </c>
      <c r="AH40">
        <f t="shared" si="12"/>
        <v>2610.4662471024099</v>
      </c>
      <c r="AI40">
        <f t="shared" si="13"/>
        <v>1.002409857223522</v>
      </c>
      <c r="AJ40">
        <f t="shared" si="14"/>
        <v>168.41815862132228</v>
      </c>
      <c r="AK40">
        <f t="shared" si="24"/>
        <v>103.80968717404404</v>
      </c>
    </row>
    <row r="41" spans="1:37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1"/>
        <v>1.0317418769413327</v>
      </c>
      <c r="J41">
        <f t="shared" si="2"/>
        <v>1.0153175994718939</v>
      </c>
      <c r="K41">
        <f t="shared" si="3"/>
        <v>1.0498785093824683</v>
      </c>
      <c r="L41">
        <v>1.1416449270586</v>
      </c>
      <c r="M41">
        <v>1.1474924200422301</v>
      </c>
      <c r="N41">
        <v>1.1579664243508401</v>
      </c>
      <c r="O41">
        <v>1.1642457921588201</v>
      </c>
      <c r="P41">
        <f t="shared" si="4"/>
        <v>111.68356480716287</v>
      </c>
      <c r="Q41">
        <f t="shared" si="5"/>
        <v>118.28263531716871</v>
      </c>
      <c r="R41">
        <f t="shared" si="6"/>
        <v>123.02403489181083</v>
      </c>
      <c r="S41">
        <f t="shared" si="7"/>
        <v>184.88407117841689</v>
      </c>
      <c r="T41">
        <f t="shared" si="8"/>
        <v>179.0432185238507</v>
      </c>
      <c r="U41">
        <f t="shared" si="9"/>
        <v>195.20835826542415</v>
      </c>
      <c r="V41">
        <f t="shared" si="10"/>
        <v>186.08625692089737</v>
      </c>
      <c r="W41">
        <f t="shared" si="17"/>
        <v>100.21993296070447</v>
      </c>
      <c r="X41">
        <f t="shared" si="18"/>
        <v>94.139341226555203</v>
      </c>
      <c r="Y41">
        <f t="shared" si="19"/>
        <v>100.04421602141385</v>
      </c>
      <c r="Z41">
        <f t="shared" si="20"/>
        <v>140.69682215779619</v>
      </c>
      <c r="AA41">
        <f t="shared" si="21"/>
        <v>141.36511724537488</v>
      </c>
      <c r="AB41">
        <f t="shared" si="22"/>
        <v>145.08583397520277</v>
      </c>
      <c r="AC41">
        <f t="shared" si="23"/>
        <v>147.51065479632274</v>
      </c>
      <c r="AD41" s="16">
        <f t="shared" si="11"/>
        <v>0.10808791496837178</v>
      </c>
      <c r="AE41" s="16">
        <f t="shared" si="15"/>
        <v>0.56540063230970539</v>
      </c>
      <c r="AF41" s="19">
        <v>20060517</v>
      </c>
      <c r="AG41" s="18">
        <v>1040.3699999999999</v>
      </c>
      <c r="AH41">
        <f t="shared" si="12"/>
        <v>2773.4650698593132</v>
      </c>
      <c r="AI41">
        <f t="shared" si="13"/>
        <v>1.0624405019363228</v>
      </c>
      <c r="AJ41">
        <f t="shared" si="14"/>
        <v>178.93427298082887</v>
      </c>
      <c r="AK41">
        <f t="shared" si="24"/>
        <v>110.291616147044</v>
      </c>
    </row>
    <row r="42" spans="1:37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1"/>
        <v>0.92468498942917554</v>
      </c>
      <c r="J42">
        <f t="shared" si="2"/>
        <v>0.90187763485923966</v>
      </c>
      <c r="K42">
        <f t="shared" si="3"/>
        <v>0.90431224575143532</v>
      </c>
      <c r="L42">
        <v>0.91390779928010701</v>
      </c>
      <c r="M42">
        <v>0.92995305563243003</v>
      </c>
      <c r="N42">
        <v>0.91382592707372101</v>
      </c>
      <c r="O42">
        <v>0.93219305939070196</v>
      </c>
      <c r="P42">
        <f t="shared" si="4"/>
        <v>103.27211594312404</v>
      </c>
      <c r="Q42">
        <f t="shared" si="5"/>
        <v>106.67646338476609</v>
      </c>
      <c r="R42">
        <f t="shared" si="6"/>
        <v>111.25214127441639</v>
      </c>
      <c r="S42">
        <f t="shared" si="7"/>
        <v>168.96699461261363</v>
      </c>
      <c r="T42">
        <f t="shared" si="8"/>
        <v>166.50178815651986</v>
      </c>
      <c r="U42">
        <f t="shared" si="9"/>
        <v>178.38645896444029</v>
      </c>
      <c r="V42">
        <f t="shared" si="10"/>
        <v>173.46831714965552</v>
      </c>
      <c r="W42">
        <f t="shared" si="17"/>
        <v>92.67186765036169</v>
      </c>
      <c r="X42">
        <f t="shared" si="18"/>
        <v>84.902166412612516</v>
      </c>
      <c r="Y42">
        <f t="shared" si="19"/>
        <v>90.471209664766477</v>
      </c>
      <c r="Z42">
        <f t="shared" si="20"/>
        <v>128.58392310393612</v>
      </c>
      <c r="AA42">
        <f t="shared" si="21"/>
        <v>131.46292274217311</v>
      </c>
      <c r="AB42">
        <f t="shared" si="22"/>
        <v>132.58319673765365</v>
      </c>
      <c r="AC42">
        <f t="shared" si="23"/>
        <v>137.50840858730982</v>
      </c>
      <c r="AD42" s="16">
        <f t="shared" si="11"/>
        <v>9.5136813222856942E-3</v>
      </c>
      <c r="AE42" s="16">
        <f t="shared" si="15"/>
        <v>0.57491431363199108</v>
      </c>
      <c r="AF42" s="19">
        <v>20060518</v>
      </c>
      <c r="AG42" s="17">
        <v>1031.99</v>
      </c>
      <c r="AH42">
        <f t="shared" si="12"/>
        <v>2585.17452764578</v>
      </c>
      <c r="AI42">
        <f t="shared" si="13"/>
        <v>0.93211000049728965</v>
      </c>
      <c r="AJ42">
        <f t="shared" si="14"/>
        <v>166.78642527714254</v>
      </c>
      <c r="AK42">
        <f t="shared" si="24"/>
        <v>102.80391838166805</v>
      </c>
    </row>
    <row r="43" spans="1:37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1"/>
        <v>1.0221731416447175</v>
      </c>
      <c r="J43">
        <f t="shared" si="2"/>
        <v>1.0527734410873357</v>
      </c>
      <c r="K43">
        <f t="shared" si="3"/>
        <v>1.0404805322430619</v>
      </c>
      <c r="L43">
        <v>0.99137195686575297</v>
      </c>
      <c r="M43">
        <v>0.98946177175304195</v>
      </c>
      <c r="N43">
        <v>0.98859743694464397</v>
      </c>
      <c r="O43">
        <v>0.98476494311386797</v>
      </c>
      <c r="P43">
        <f t="shared" si="4"/>
        <v>105.56198319788061</v>
      </c>
      <c r="Q43">
        <f t="shared" si="5"/>
        <v>112.30614744060738</v>
      </c>
      <c r="R43">
        <f t="shared" si="6"/>
        <v>115.75568716638509</v>
      </c>
      <c r="S43">
        <f t="shared" si="7"/>
        <v>167.50914009483191</v>
      </c>
      <c r="T43">
        <f t="shared" si="8"/>
        <v>164.7471543093998</v>
      </c>
      <c r="U43">
        <f t="shared" si="9"/>
        <v>176.35239611787659</v>
      </c>
      <c r="V43">
        <f t="shared" si="10"/>
        <v>170.82551746993892</v>
      </c>
      <c r="W43">
        <f t="shared" si="17"/>
        <v>94.726694098253674</v>
      </c>
      <c r="X43">
        <f t="shared" si="18"/>
        <v>89.382745889975695</v>
      </c>
      <c r="Y43">
        <f t="shared" si="19"/>
        <v>94.133532384669877</v>
      </c>
      <c r="Z43">
        <f t="shared" si="20"/>
        <v>127.47449546902465</v>
      </c>
      <c r="AA43">
        <f t="shared" si="21"/>
        <v>130.07753645630387</v>
      </c>
      <c r="AB43">
        <f t="shared" si="22"/>
        <v>131.07140847677189</v>
      </c>
      <c r="AC43">
        <f t="shared" si="23"/>
        <v>135.41346016016067</v>
      </c>
      <c r="AD43" s="16">
        <f t="shared" si="11"/>
        <v>-5.1883095298417947E-2</v>
      </c>
      <c r="AE43" s="16">
        <f t="shared" si="15"/>
        <v>0.52303121833357313</v>
      </c>
      <c r="AF43" s="19">
        <v>20060519</v>
      </c>
      <c r="AG43" s="17">
        <v>1034.31</v>
      </c>
      <c r="AH43">
        <f t="shared" si="12"/>
        <v>2558.7211684335361</v>
      </c>
      <c r="AI43">
        <f t="shared" si="13"/>
        <v>0.98976728304826134</v>
      </c>
      <c r="AJ43">
        <f t="shared" si="14"/>
        <v>165.07974699588922</v>
      </c>
      <c r="AK43">
        <f t="shared" si="24"/>
        <v>101.75195498333881</v>
      </c>
    </row>
    <row r="44" spans="1:37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1"/>
        <v>1.0177420292837429</v>
      </c>
      <c r="J44">
        <f t="shared" si="2"/>
        <v>0.9829591796679068</v>
      </c>
      <c r="K44">
        <f t="shared" si="3"/>
        <v>0.96058426603095082</v>
      </c>
      <c r="L44">
        <v>0.97499004462252303</v>
      </c>
      <c r="M44">
        <v>0.96846194410766895</v>
      </c>
      <c r="N44">
        <v>0.98088967904604396</v>
      </c>
      <c r="O44">
        <v>0.97359855931498596</v>
      </c>
      <c r="P44">
        <f t="shared" si="4"/>
        <v>107.43486699502738</v>
      </c>
      <c r="Q44">
        <f t="shared" si="5"/>
        <v>110.39235855988241</v>
      </c>
      <c r="R44">
        <f t="shared" si="6"/>
        <v>111.19309179563037</v>
      </c>
      <c r="S44">
        <f t="shared" si="7"/>
        <v>163.31974397574064</v>
      </c>
      <c r="T44">
        <f t="shared" si="8"/>
        <v>159.55134934868747</v>
      </c>
      <c r="U44">
        <f t="shared" si="9"/>
        <v>172.98224522706479</v>
      </c>
      <c r="V44">
        <f t="shared" si="10"/>
        <v>166.3154777029695</v>
      </c>
      <c r="W44">
        <f t="shared" si="17"/>
        <v>96.407337878897053</v>
      </c>
      <c r="X44">
        <f t="shared" si="18"/>
        <v>87.859590576475483</v>
      </c>
      <c r="Y44">
        <f t="shared" si="19"/>
        <v>90.423190114628852</v>
      </c>
      <c r="Z44">
        <f t="shared" si="20"/>
        <v>124.28636402557795</v>
      </c>
      <c r="AA44">
        <f t="shared" si="21"/>
        <v>125.97514384120824</v>
      </c>
      <c r="AB44">
        <f t="shared" si="22"/>
        <v>128.56659179289372</v>
      </c>
      <c r="AC44">
        <f t="shared" si="23"/>
        <v>131.83834972378966</v>
      </c>
      <c r="AD44" s="16">
        <f t="shared" si="11"/>
        <v>2.0305413015093143E-2</v>
      </c>
      <c r="AE44" s="16">
        <f t="shared" si="15"/>
        <v>0.54333663134866628</v>
      </c>
      <c r="AF44" s="19">
        <v>20060520</v>
      </c>
      <c r="AG44" s="17">
        <v>1034.25</v>
      </c>
      <c r="AH44">
        <f t="shared" si="12"/>
        <v>2494.3669587962422</v>
      </c>
      <c r="AI44">
        <f t="shared" si="13"/>
        <v>0.97484907287624001</v>
      </c>
      <c r="AJ44">
        <f t="shared" si="14"/>
        <v>160.92783830958689</v>
      </c>
      <c r="AK44">
        <f t="shared" si="24"/>
        <v>99.19279897885275</v>
      </c>
    </row>
    <row r="45" spans="1:37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1"/>
        <v>1.0218678435009647</v>
      </c>
      <c r="J45">
        <f t="shared" si="2"/>
        <v>1.0362832015477046</v>
      </c>
      <c r="K45">
        <f t="shared" si="3"/>
        <v>1.0415378467621512</v>
      </c>
      <c r="L45">
        <v>1.0502116213627599</v>
      </c>
      <c r="M45">
        <v>1.03412162928414</v>
      </c>
      <c r="N45">
        <v>1.05033624596649</v>
      </c>
      <c r="O45">
        <v>1.0410235099602101</v>
      </c>
      <c r="P45">
        <f t="shared" si="4"/>
        <v>109.7842358530216</v>
      </c>
      <c r="Q45">
        <f t="shared" si="5"/>
        <v>114.3977467548371</v>
      </c>
      <c r="R45">
        <f t="shared" si="6"/>
        <v>115.81181340364708</v>
      </c>
      <c r="S45">
        <f t="shared" si="7"/>
        <v>171.52029312131341</v>
      </c>
      <c r="T45">
        <f t="shared" si="8"/>
        <v>164.99550134294768</v>
      </c>
      <c r="U45">
        <f t="shared" si="9"/>
        <v>181.68952207065001</v>
      </c>
      <c r="V45">
        <f t="shared" si="10"/>
        <v>173.13832235905437</v>
      </c>
      <c r="W45">
        <f t="shared" si="17"/>
        <v>98.515558455977398</v>
      </c>
      <c r="X45">
        <f t="shared" si="18"/>
        <v>91.047417809260551</v>
      </c>
      <c r="Y45">
        <f t="shared" si="19"/>
        <v>94.179174729355168</v>
      </c>
      <c r="Z45">
        <f t="shared" si="20"/>
        <v>130.52698387658441</v>
      </c>
      <c r="AA45">
        <f t="shared" si="21"/>
        <v>130.27362099837416</v>
      </c>
      <c r="AB45">
        <f t="shared" si="22"/>
        <v>135.03815138045414</v>
      </c>
      <c r="AC45">
        <f t="shared" si="23"/>
        <v>137.24682157682122</v>
      </c>
      <c r="AD45" s="16">
        <f t="shared" si="11"/>
        <v>8.7983992043387804E-3</v>
      </c>
      <c r="AE45" s="16">
        <f t="shared" si="15"/>
        <v>0.55213503055300506</v>
      </c>
      <c r="AF45" s="19">
        <v>20060521</v>
      </c>
      <c r="AG45" s="17">
        <v>1034.19</v>
      </c>
      <c r="AH45">
        <f t="shared" si="12"/>
        <v>2510.6141210235742</v>
      </c>
      <c r="AI45">
        <f t="shared" si="13"/>
        <v>1.0065135413095645</v>
      </c>
      <c r="AJ45">
        <f t="shared" si="14"/>
        <v>161.97604843227529</v>
      </c>
      <c r="AK45">
        <f t="shared" si="24"/>
        <v>99.838895372612839</v>
      </c>
    </row>
    <row r="46" spans="1:37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1"/>
        <v>1.008998700952348</v>
      </c>
      <c r="J46">
        <f t="shared" si="2"/>
        <v>1.0659707205953508</v>
      </c>
      <c r="K46">
        <f t="shared" si="3"/>
        <v>1.0422892855700496</v>
      </c>
      <c r="L46">
        <v>1.0080126927158299</v>
      </c>
      <c r="M46">
        <v>1.00049011354024</v>
      </c>
      <c r="N46">
        <v>1.00971220806534</v>
      </c>
      <c r="O46">
        <v>0.99915386502551595</v>
      </c>
      <c r="P46">
        <f t="shared" si="4"/>
        <v>110.77215136074499</v>
      </c>
      <c r="Q46">
        <f t="shared" si="5"/>
        <v>121.94464854273816</v>
      </c>
      <c r="R46">
        <f t="shared" si="6"/>
        <v>120.70941225305921</v>
      </c>
      <c r="S46">
        <f t="shared" si="7"/>
        <v>172.89463252462357</v>
      </c>
      <c r="T46">
        <f t="shared" si="8"/>
        <v>165.07636787223453</v>
      </c>
      <c r="U46">
        <f t="shared" si="9"/>
        <v>183.45412851229236</v>
      </c>
      <c r="V46">
        <f t="shared" si="10"/>
        <v>172.99182396908287</v>
      </c>
      <c r="W46">
        <f t="shared" si="17"/>
        <v>99.402070505676292</v>
      </c>
      <c r="X46">
        <f t="shared" si="18"/>
        <v>97.053881570483441</v>
      </c>
      <c r="Y46">
        <f t="shared" si="19"/>
        <v>98.161944744236465</v>
      </c>
      <c r="Z46">
        <f t="shared" si="20"/>
        <v>131.57285648951157</v>
      </c>
      <c r="AA46">
        <f t="shared" si="21"/>
        <v>130.33746986396156</v>
      </c>
      <c r="AB46">
        <f t="shared" si="22"/>
        <v>136.34967000341999</v>
      </c>
      <c r="AC46">
        <f t="shared" si="23"/>
        <v>137.13069224094829</v>
      </c>
      <c r="AD46" s="16">
        <f t="shared" si="11"/>
        <v>-3.2577077504709617E-2</v>
      </c>
      <c r="AE46" s="16">
        <f t="shared" si="15"/>
        <v>0.51955795304829544</v>
      </c>
      <c r="AF46" s="19">
        <v>20060522</v>
      </c>
      <c r="AG46" s="18">
        <v>1023.21</v>
      </c>
      <c r="AH46">
        <f t="shared" si="12"/>
        <v>2439.1155734968411</v>
      </c>
      <c r="AI46">
        <f t="shared" si="13"/>
        <v>0.97152149072690497</v>
      </c>
      <c r="AJ46">
        <f t="shared" si="14"/>
        <v>157.36321203497744</v>
      </c>
      <c r="AK46">
        <f t="shared" si="24"/>
        <v>96.99563246492832</v>
      </c>
    </row>
    <row r="47" spans="1:37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1"/>
        <v>0.98842989299569428</v>
      </c>
      <c r="J47">
        <f t="shared" si="2"/>
        <v>1.009122313717614</v>
      </c>
      <c r="K47">
        <f t="shared" si="3"/>
        <v>0.98130918073281181</v>
      </c>
      <c r="L47">
        <v>0.97874372814884902</v>
      </c>
      <c r="M47">
        <v>0.98208085276893398</v>
      </c>
      <c r="N47">
        <v>0.97468762955440302</v>
      </c>
      <c r="O47">
        <v>0.97829857136985199</v>
      </c>
      <c r="P47">
        <f t="shared" si="4"/>
        <v>109.49050571640402</v>
      </c>
      <c r="Q47">
        <f t="shared" si="5"/>
        <v>123.05706588292919</v>
      </c>
      <c r="R47">
        <f t="shared" si="6"/>
        <v>118.45325444478877</v>
      </c>
      <c r="S47">
        <f t="shared" si="7"/>
        <v>169.21953721407533</v>
      </c>
      <c r="T47">
        <f t="shared" si="8"/>
        <v>162.11834013196233</v>
      </c>
      <c r="U47">
        <f t="shared" si="9"/>
        <v>178.81046965161505</v>
      </c>
      <c r="V47">
        <f t="shared" si="10"/>
        <v>169.23765424761868</v>
      </c>
      <c r="W47">
        <f t="shared" si="17"/>
        <v>98.251977913476082</v>
      </c>
      <c r="X47">
        <f t="shared" si="18"/>
        <v>97.939237525681548</v>
      </c>
      <c r="Y47">
        <f t="shared" si="19"/>
        <v>96.327217576106221</v>
      </c>
      <c r="Z47">
        <f t="shared" si="20"/>
        <v>128.77610808373802</v>
      </c>
      <c r="AA47">
        <f t="shared" si="21"/>
        <v>128.0019335517446</v>
      </c>
      <c r="AB47">
        <f t="shared" si="22"/>
        <v>132.89833664615853</v>
      </c>
      <c r="AC47">
        <f t="shared" si="23"/>
        <v>134.15476031027856</v>
      </c>
      <c r="AD47" s="16">
        <f t="shared" si="11"/>
        <v>-6.621551178408791E-3</v>
      </c>
      <c r="AE47" s="16">
        <f t="shared" si="15"/>
        <v>0.51293640186988665</v>
      </c>
      <c r="AF47" s="19">
        <v>20060523</v>
      </c>
      <c r="AG47" s="17">
        <v>1021.44</v>
      </c>
      <c r="AH47">
        <f t="shared" si="12"/>
        <v>2374.32001480074</v>
      </c>
      <c r="AI47">
        <f t="shared" si="13"/>
        <v>0.97343481407762611</v>
      </c>
      <c r="AJ47">
        <f t="shared" si="14"/>
        <v>153.18282904992631</v>
      </c>
      <c r="AK47">
        <f t="shared" si="24"/>
        <v>94.418925454839254</v>
      </c>
    </row>
    <row r="48" spans="1:37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1"/>
        <v>1.0665499275412327</v>
      </c>
      <c r="J48">
        <f t="shared" si="2"/>
        <v>1.0709654049621646</v>
      </c>
      <c r="K48">
        <f t="shared" si="3"/>
        <v>1.0617010355073395</v>
      </c>
      <c r="L48">
        <v>1.05602778627563</v>
      </c>
      <c r="M48">
        <v>1.0459825663009701</v>
      </c>
      <c r="N48">
        <v>1.0513479504550001</v>
      </c>
      <c r="O48">
        <v>1.0407836167587801</v>
      </c>
      <c r="P48">
        <f t="shared" si="4"/>
        <v>116.77709093828362</v>
      </c>
      <c r="Q48">
        <f t="shared" si="5"/>
        <v>131.78986039676704</v>
      </c>
      <c r="R48">
        <f t="shared" si="6"/>
        <v>125.76194290324661</v>
      </c>
      <c r="S48">
        <f t="shared" si="7"/>
        <v>178.70053327876656</v>
      </c>
      <c r="T48">
        <f t="shared" si="8"/>
        <v>169.57295745568351</v>
      </c>
      <c r="U48">
        <f t="shared" si="9"/>
        <v>187.99202078812147</v>
      </c>
      <c r="V48">
        <f t="shared" si="10"/>
        <v>176.13977787960849</v>
      </c>
      <c r="W48">
        <f t="shared" si="17"/>
        <v>104.79063992440071</v>
      </c>
      <c r="X48">
        <f t="shared" si="18"/>
        <v>104.88953517837717</v>
      </c>
      <c r="Y48">
        <f t="shared" si="19"/>
        <v>102.27070664809277</v>
      </c>
      <c r="Z48">
        <f t="shared" si="20"/>
        <v>135.99114834486113</v>
      </c>
      <c r="AA48">
        <f t="shared" si="21"/>
        <v>133.88779094794006</v>
      </c>
      <c r="AB48">
        <f t="shared" si="22"/>
        <v>139.7223938518174</v>
      </c>
      <c r="AC48">
        <f t="shared" si="23"/>
        <v>139.62607664113895</v>
      </c>
      <c r="AD48" s="16">
        <f t="shared" si="11"/>
        <v>-1.035308505233945E-2</v>
      </c>
      <c r="AE48" s="16">
        <f t="shared" si="15"/>
        <v>0.5025833168175472</v>
      </c>
      <c r="AF48" s="19">
        <v>20060524</v>
      </c>
      <c r="AG48" s="17">
        <v>1020.58</v>
      </c>
      <c r="AH48">
        <f t="shared" si="12"/>
        <v>2495.5806687079612</v>
      </c>
      <c r="AI48">
        <f t="shared" si="13"/>
        <v>1.0510717397618357</v>
      </c>
      <c r="AJ48">
        <f t="shared" si="14"/>
        <v>161.00614263114591</v>
      </c>
      <c r="AK48">
        <f t="shared" si="24"/>
        <v>99.241064244260969</v>
      </c>
    </row>
    <row r="49" spans="1:37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1"/>
        <v>1.0959577169754859</v>
      </c>
      <c r="J49">
        <f t="shared" si="2"/>
        <v>1.1154510888351195</v>
      </c>
      <c r="K49">
        <f t="shared" si="3"/>
        <v>1.1242265477181124</v>
      </c>
      <c r="L49">
        <v>1.0866690085567701</v>
      </c>
      <c r="M49">
        <v>1.0784347408611901</v>
      </c>
      <c r="N49">
        <v>1.0821084107616099</v>
      </c>
      <c r="O49">
        <v>1.0789643145168299</v>
      </c>
      <c r="P49">
        <f t="shared" si="4"/>
        <v>127.98275397976002</v>
      </c>
      <c r="Q49">
        <f t="shared" si="5"/>
        <v>147.00514327700219</v>
      </c>
      <c r="R49">
        <f t="shared" si="6"/>
        <v>141.38491490443928</v>
      </c>
      <c r="S49">
        <f t="shared" si="7"/>
        <v>194.18833132660336</v>
      </c>
      <c r="T49">
        <f t="shared" si="8"/>
        <v>182.87336843078566</v>
      </c>
      <c r="U49">
        <f t="shared" si="9"/>
        <v>203.42774685089765</v>
      </c>
      <c r="V49">
        <f t="shared" si="10"/>
        <v>190.04853469901846</v>
      </c>
      <c r="W49">
        <f t="shared" si="17"/>
        <v>114.8461104919464</v>
      </c>
      <c r="X49">
        <f t="shared" si="18"/>
        <v>116.99914622213038</v>
      </c>
      <c r="Y49">
        <f t="shared" si="19"/>
        <v>114.97544346767714</v>
      </c>
      <c r="Z49">
        <f t="shared" si="20"/>
        <v>147.77736634440689</v>
      </c>
      <c r="AA49">
        <f t="shared" si="21"/>
        <v>144.38924513541892</v>
      </c>
      <c r="AB49">
        <f t="shared" si="22"/>
        <v>151.19477755879785</v>
      </c>
      <c r="AC49">
        <f t="shared" si="23"/>
        <v>150.65155407178085</v>
      </c>
      <c r="AD49" s="16">
        <f t="shared" si="11"/>
        <v>-4.2118136956502461E-2</v>
      </c>
      <c r="AE49" s="16">
        <f t="shared" si="15"/>
        <v>0.46046517986104474</v>
      </c>
      <c r="AF49" s="19">
        <v>20060525</v>
      </c>
      <c r="AG49" s="17">
        <v>1004.19</v>
      </c>
      <c r="AH49">
        <v>2650.94</v>
      </c>
      <c r="AI49">
        <f t="shared" si="13"/>
        <v>1.0622537805489867</v>
      </c>
      <c r="AJ49">
        <f t="shared" si="14"/>
        <v>171.02938370154411</v>
      </c>
      <c r="AK49">
        <f t="shared" si="24"/>
        <v>105.41919567917108</v>
      </c>
    </row>
    <row r="50" spans="1:37" x14ac:dyDescent="0.4">
      <c r="AD50" s="15"/>
      <c r="AF50" s="19">
        <v>20060526</v>
      </c>
      <c r="AG50" s="17">
        <v>1011.71</v>
      </c>
    </row>
    <row r="51" spans="1:37" x14ac:dyDescent="0.4">
      <c r="AF51" s="19">
        <v>20060527</v>
      </c>
      <c r="AG51" s="18">
        <v>1011.64</v>
      </c>
    </row>
    <row r="52" spans="1:37" x14ac:dyDescent="0.4">
      <c r="AF52" s="19">
        <v>20060528</v>
      </c>
      <c r="AG52" s="17">
        <v>1011.57</v>
      </c>
    </row>
    <row r="53" spans="1:37" x14ac:dyDescent="0.4">
      <c r="AF53" s="19">
        <v>20060529</v>
      </c>
      <c r="AG53" s="17">
        <v>1014.57</v>
      </c>
    </row>
    <row r="54" spans="1:37" x14ac:dyDescent="0.4">
      <c r="AF54" s="19">
        <v>20060530</v>
      </c>
      <c r="AG54" s="17">
        <v>1013.32</v>
      </c>
    </row>
    <row r="55" spans="1:37" x14ac:dyDescent="0.4">
      <c r="AF55" s="19">
        <v>20060531</v>
      </c>
      <c r="AG55" s="17">
        <v>1013.24</v>
      </c>
    </row>
    <row r="56" spans="1:37" x14ac:dyDescent="0.4">
      <c r="AF56" s="19">
        <v>20060601</v>
      </c>
      <c r="AG56" s="18">
        <v>1003.27</v>
      </c>
    </row>
    <row r="57" spans="1:37" x14ac:dyDescent="0.4">
      <c r="AF57" s="19">
        <v>20060602</v>
      </c>
      <c r="AG57" s="17">
        <v>1006.07</v>
      </c>
    </row>
    <row r="58" spans="1:37" x14ac:dyDescent="0.4">
      <c r="AF58" s="19">
        <v>20060603</v>
      </c>
      <c r="AG58" s="17">
        <v>1006</v>
      </c>
    </row>
    <row r="59" spans="1:37" x14ac:dyDescent="0.4">
      <c r="AF59" s="19">
        <v>20060604</v>
      </c>
      <c r="AG59" s="17">
        <v>1005.92</v>
      </c>
    </row>
    <row r="60" spans="1:37" x14ac:dyDescent="0.4">
      <c r="AF60" s="19">
        <v>20060605</v>
      </c>
      <c r="AG60" s="17">
        <v>998.36</v>
      </c>
    </row>
    <row r="61" spans="1:37" x14ac:dyDescent="0.4">
      <c r="AF61" s="19">
        <v>20060606</v>
      </c>
      <c r="AG61" s="18">
        <v>998.28</v>
      </c>
    </row>
    <row r="62" spans="1:37" x14ac:dyDescent="0.4">
      <c r="AF62" s="19">
        <v>20060607</v>
      </c>
      <c r="AG62" s="17">
        <v>978.81</v>
      </c>
    </row>
    <row r="63" spans="1:37" x14ac:dyDescent="0.4">
      <c r="AF63" s="19">
        <v>20060608</v>
      </c>
      <c r="AG63" s="17">
        <v>959.28</v>
      </c>
    </row>
    <row r="64" spans="1:37" x14ac:dyDescent="0.4">
      <c r="AF64" s="19">
        <v>20060609</v>
      </c>
      <c r="AG64" s="17">
        <v>962.41</v>
      </c>
    </row>
    <row r="65" spans="32:33" x14ac:dyDescent="0.4">
      <c r="AF65" s="19">
        <v>20060610</v>
      </c>
      <c r="AG65" s="17">
        <v>962.34</v>
      </c>
    </row>
    <row r="66" spans="32:33" x14ac:dyDescent="0.4">
      <c r="AF66" s="19">
        <v>20060611</v>
      </c>
      <c r="AG66" s="18">
        <v>962.26</v>
      </c>
    </row>
    <row r="67" spans="32:33" x14ac:dyDescent="0.4">
      <c r="AF67" s="19">
        <v>20060612</v>
      </c>
      <c r="AG67" s="17">
        <v>963.32</v>
      </c>
    </row>
    <row r="68" spans="32:33" x14ac:dyDescent="0.4">
      <c r="AF68" s="19">
        <v>20060613</v>
      </c>
      <c r="AG68" s="17">
        <v>949.42</v>
      </c>
    </row>
    <row r="69" spans="32:33" x14ac:dyDescent="0.4">
      <c r="AF69" s="19">
        <v>20060614</v>
      </c>
      <c r="AG69" s="17">
        <v>953.22</v>
      </c>
    </row>
    <row r="70" spans="32:33" x14ac:dyDescent="0.4">
      <c r="AF70" s="19">
        <v>20060615</v>
      </c>
      <c r="AG70" s="17">
        <v>953.22</v>
      </c>
    </row>
    <row r="71" spans="32:33" x14ac:dyDescent="0.4">
      <c r="AF71" s="19">
        <v>20060616</v>
      </c>
      <c r="AG71" s="18">
        <v>964.88</v>
      </c>
    </row>
    <row r="72" spans="32:33" x14ac:dyDescent="0.4">
      <c r="AF72" s="19">
        <v>20060617</v>
      </c>
      <c r="AG72" s="17">
        <v>964.81</v>
      </c>
    </row>
    <row r="73" spans="32:33" x14ac:dyDescent="0.4">
      <c r="AF73" s="19">
        <v>20060618</v>
      </c>
      <c r="AG73" s="17">
        <v>964.73</v>
      </c>
    </row>
    <row r="74" spans="32:33" x14ac:dyDescent="0.4">
      <c r="AF74" s="19">
        <v>20060619</v>
      </c>
      <c r="AG74" s="17">
        <v>954.98</v>
      </c>
    </row>
    <row r="75" spans="32:33" x14ac:dyDescent="0.4">
      <c r="AF75" s="19">
        <v>20060620</v>
      </c>
      <c r="AG75" s="17">
        <v>941.45</v>
      </c>
    </row>
    <row r="76" spans="32:33" x14ac:dyDescent="0.4">
      <c r="AF76" s="19">
        <v>20060621</v>
      </c>
      <c r="AG76" s="18">
        <v>937.91</v>
      </c>
    </row>
    <row r="77" spans="32:33" x14ac:dyDescent="0.4">
      <c r="AF77" s="19">
        <v>20060622</v>
      </c>
      <c r="AG77" s="17">
        <v>940.27</v>
      </c>
    </row>
    <row r="78" spans="32:33" x14ac:dyDescent="0.4">
      <c r="AF78" s="19">
        <v>20060623</v>
      </c>
      <c r="AG78" s="17">
        <v>936.53</v>
      </c>
    </row>
    <row r="79" spans="32:33" x14ac:dyDescent="0.4">
      <c r="AF79" s="19">
        <v>20060624</v>
      </c>
      <c r="AG79" s="17">
        <v>936.46</v>
      </c>
    </row>
    <row r="80" spans="32:33" x14ac:dyDescent="0.4">
      <c r="AF80" s="19">
        <v>20060625</v>
      </c>
      <c r="AG80" s="17">
        <v>936.38</v>
      </c>
    </row>
    <row r="81" spans="32:33" x14ac:dyDescent="0.4">
      <c r="AF81" s="19">
        <v>20060626</v>
      </c>
      <c r="AG81" s="18">
        <v>936.95</v>
      </c>
    </row>
    <row r="82" spans="32:33" x14ac:dyDescent="0.4">
      <c r="AF82" s="19">
        <v>20060627</v>
      </c>
      <c r="AG82" s="17">
        <v>937.55</v>
      </c>
    </row>
    <row r="83" spans="32:33" x14ac:dyDescent="0.4">
      <c r="AF83" s="19">
        <v>20060628</v>
      </c>
      <c r="AG83" s="17">
        <v>928.88</v>
      </c>
    </row>
    <row r="84" spans="32:33" x14ac:dyDescent="0.4">
      <c r="AF84" s="19">
        <v>20060629</v>
      </c>
      <c r="AG84" s="17">
        <v>944.55</v>
      </c>
    </row>
    <row r="85" spans="32:33" x14ac:dyDescent="0.4">
      <c r="AF85" s="19">
        <v>20060630</v>
      </c>
      <c r="AG85" s="17">
        <v>957.34</v>
      </c>
    </row>
    <row r="86" spans="32:33" x14ac:dyDescent="0.4">
      <c r="AF86" s="19">
        <v>20060701</v>
      </c>
      <c r="AG86" s="18">
        <v>957.27</v>
      </c>
    </row>
    <row r="87" spans="32:33" x14ac:dyDescent="0.4">
      <c r="AF87" s="19">
        <v>20060702</v>
      </c>
      <c r="AG87" s="17">
        <v>957.2</v>
      </c>
    </row>
    <row r="88" spans="32:33" x14ac:dyDescent="0.4">
      <c r="AF88" s="19">
        <v>20060703</v>
      </c>
      <c r="AG88" s="17">
        <v>954.44</v>
      </c>
    </row>
    <row r="89" spans="32:33" x14ac:dyDescent="0.4">
      <c r="AF89" s="19">
        <v>20060704</v>
      </c>
      <c r="AG89" s="17">
        <v>950.31</v>
      </c>
    </row>
    <row r="90" spans="32:33" x14ac:dyDescent="0.4">
      <c r="AF90" s="19">
        <v>20060705</v>
      </c>
      <c r="AG90" s="17">
        <v>946.76</v>
      </c>
    </row>
    <row r="91" spans="32:33" x14ac:dyDescent="0.4">
      <c r="AF91" s="19">
        <v>20060706</v>
      </c>
      <c r="AG91" s="18">
        <v>941.18</v>
      </c>
    </row>
    <row r="92" spans="32:33" x14ac:dyDescent="0.4">
      <c r="AF92" s="19">
        <v>20060707</v>
      </c>
      <c r="AG92" s="17">
        <v>940.89</v>
      </c>
    </row>
    <row r="93" spans="32:33" x14ac:dyDescent="0.4">
      <c r="AF93" s="19">
        <v>20060708</v>
      </c>
      <c r="AG93" s="17">
        <v>940.82</v>
      </c>
    </row>
    <row r="94" spans="32:33" x14ac:dyDescent="0.4">
      <c r="AF94" s="19">
        <v>20060709</v>
      </c>
      <c r="AG94" s="17">
        <v>940.75</v>
      </c>
    </row>
    <row r="95" spans="32:33" x14ac:dyDescent="0.4">
      <c r="AF95" s="19">
        <v>20060710</v>
      </c>
      <c r="AG95" s="17">
        <v>946.1</v>
      </c>
    </row>
    <row r="96" spans="32:33" x14ac:dyDescent="0.4">
      <c r="AF96" s="19">
        <v>20060711</v>
      </c>
      <c r="AG96" s="18">
        <v>946.52</v>
      </c>
    </row>
    <row r="97" spans="32:33" x14ac:dyDescent="0.4">
      <c r="AF97" s="19">
        <v>20060712</v>
      </c>
      <c r="AG97" s="17">
        <v>939.04</v>
      </c>
    </row>
    <row r="98" spans="32:33" x14ac:dyDescent="0.4">
      <c r="AF98" s="19">
        <v>20060713</v>
      </c>
      <c r="AG98" s="17">
        <v>932.5</v>
      </c>
    </row>
    <row r="99" spans="32:33" x14ac:dyDescent="0.4">
      <c r="AF99" s="19">
        <v>20060714</v>
      </c>
      <c r="AG99" s="17">
        <v>921.83</v>
      </c>
    </row>
    <row r="100" spans="32:33" x14ac:dyDescent="0.4">
      <c r="AF100" s="19">
        <v>20060715</v>
      </c>
      <c r="AG100" s="17">
        <v>921.76</v>
      </c>
    </row>
    <row r="101" spans="32:33" x14ac:dyDescent="0.4">
      <c r="AF101" s="19">
        <v>20060716</v>
      </c>
      <c r="AG101" s="18">
        <v>921.69</v>
      </c>
    </row>
    <row r="102" spans="32:33" x14ac:dyDescent="0.4">
      <c r="AF102" s="19">
        <v>20060717</v>
      </c>
      <c r="AG102" s="17">
        <v>921.62</v>
      </c>
    </row>
    <row r="103" spans="32:33" x14ac:dyDescent="0.4">
      <c r="AF103" s="19">
        <v>20060718</v>
      </c>
      <c r="AG103" s="17">
        <v>914.07</v>
      </c>
    </row>
    <row r="104" spans="32:33" x14ac:dyDescent="0.4">
      <c r="AF104" s="19">
        <v>20060719</v>
      </c>
      <c r="AG104" s="17">
        <v>915.48</v>
      </c>
    </row>
    <row r="105" spans="32:33" x14ac:dyDescent="0.4">
      <c r="AF105" s="19">
        <v>20060720</v>
      </c>
      <c r="AG105" s="17">
        <v>927.53</v>
      </c>
    </row>
    <row r="106" spans="32:33" x14ac:dyDescent="0.4">
      <c r="AF106" s="19">
        <v>20060721</v>
      </c>
      <c r="AG106" s="18">
        <v>927.85</v>
      </c>
    </row>
    <row r="107" spans="32:33" x14ac:dyDescent="0.4">
      <c r="AF107" s="19">
        <v>20060722</v>
      </c>
      <c r="AG107" s="17">
        <v>927.78</v>
      </c>
    </row>
    <row r="108" spans="32:33" x14ac:dyDescent="0.4">
      <c r="AF108" s="19">
        <v>20060723</v>
      </c>
      <c r="AG108" s="17">
        <v>927.71</v>
      </c>
    </row>
    <row r="109" spans="32:33" x14ac:dyDescent="0.4">
      <c r="AF109" s="19">
        <v>20060724</v>
      </c>
      <c r="AG109" s="17">
        <v>922.45</v>
      </c>
    </row>
    <row r="110" spans="32:33" x14ac:dyDescent="0.4">
      <c r="AF110" s="19">
        <v>20060725</v>
      </c>
      <c r="AG110" s="17">
        <v>926.39</v>
      </c>
    </row>
    <row r="111" spans="32:33" x14ac:dyDescent="0.4">
      <c r="AF111" s="19">
        <v>20060726</v>
      </c>
      <c r="AG111" s="18">
        <v>924.71</v>
      </c>
    </row>
    <row r="112" spans="32:33" x14ac:dyDescent="0.4">
      <c r="AF112" s="19">
        <v>20060727</v>
      </c>
      <c r="AG112" s="17">
        <v>934.81</v>
      </c>
    </row>
    <row r="113" spans="32:33" x14ac:dyDescent="0.4">
      <c r="AF113" s="19">
        <v>20060728</v>
      </c>
      <c r="AG113" s="17">
        <v>937.3</v>
      </c>
    </row>
    <row r="114" spans="32:33" x14ac:dyDescent="0.4">
      <c r="AF114" s="19">
        <v>20060729</v>
      </c>
      <c r="AG114" s="17">
        <v>937.22</v>
      </c>
    </row>
    <row r="115" spans="32:33" x14ac:dyDescent="0.4">
      <c r="AF115" s="19">
        <v>20060730</v>
      </c>
      <c r="AG115" s="17">
        <v>937.15</v>
      </c>
    </row>
    <row r="116" spans="32:33" x14ac:dyDescent="0.4">
      <c r="AF116" s="19">
        <v>20060731</v>
      </c>
      <c r="AG116" s="18">
        <v>938.17</v>
      </c>
    </row>
    <row r="117" spans="32:33" x14ac:dyDescent="0.4">
      <c r="AF117" s="19">
        <v>20060801</v>
      </c>
      <c r="AG117" s="17">
        <v>935.32</v>
      </c>
    </row>
    <row r="118" spans="32:33" x14ac:dyDescent="0.4">
      <c r="AF118" s="19">
        <v>20060802</v>
      </c>
      <c r="AG118" s="17">
        <v>936.47</v>
      </c>
    </row>
    <row r="119" spans="32:33" x14ac:dyDescent="0.4">
      <c r="AF119" s="19">
        <v>20060803</v>
      </c>
      <c r="AG119" s="17">
        <v>932.06</v>
      </c>
    </row>
    <row r="120" spans="32:33" x14ac:dyDescent="0.4">
      <c r="AF120" s="19">
        <v>20060804</v>
      </c>
      <c r="AG120" s="17">
        <v>933.06</v>
      </c>
    </row>
    <row r="121" spans="32:33" x14ac:dyDescent="0.4">
      <c r="AF121" s="19">
        <v>20060805</v>
      </c>
      <c r="AG121" s="18">
        <v>932.99</v>
      </c>
    </row>
    <row r="122" spans="32:33" x14ac:dyDescent="0.4">
      <c r="AF122" s="19">
        <v>20060806</v>
      </c>
      <c r="AG122" s="17">
        <v>932.92</v>
      </c>
    </row>
    <row r="123" spans="32:33" x14ac:dyDescent="0.4">
      <c r="AF123" s="19">
        <v>20060807</v>
      </c>
      <c r="AG123" s="17">
        <v>923.53</v>
      </c>
    </row>
    <row r="124" spans="32:33" x14ac:dyDescent="0.4">
      <c r="AF124" s="19">
        <v>20060808</v>
      </c>
      <c r="AG124" s="17">
        <v>933.5</v>
      </c>
    </row>
    <row r="125" spans="32:33" x14ac:dyDescent="0.4">
      <c r="AF125" s="19">
        <v>20060809</v>
      </c>
      <c r="AG125" s="17">
        <v>935.45</v>
      </c>
    </row>
    <row r="126" spans="32:33" x14ac:dyDescent="0.4">
      <c r="AF126" s="19">
        <v>20060810</v>
      </c>
      <c r="AG126" s="18">
        <v>935.73</v>
      </c>
    </row>
    <row r="127" spans="32:33" x14ac:dyDescent="0.4">
      <c r="AF127" s="19">
        <v>20060811</v>
      </c>
      <c r="AG127" s="17">
        <v>934.28</v>
      </c>
    </row>
    <row r="128" spans="32:33" x14ac:dyDescent="0.4">
      <c r="AF128" s="19">
        <v>20060812</v>
      </c>
      <c r="AG128" s="17">
        <v>934.21</v>
      </c>
    </row>
    <row r="129" spans="32:33" x14ac:dyDescent="0.4">
      <c r="AF129" s="19">
        <v>20060813</v>
      </c>
      <c r="AG129" s="17">
        <v>934.14</v>
      </c>
    </row>
    <row r="130" spans="32:33" x14ac:dyDescent="0.4">
      <c r="AF130" s="19">
        <v>20060814</v>
      </c>
      <c r="AG130" s="17">
        <v>936.9</v>
      </c>
    </row>
    <row r="131" spans="32:33" x14ac:dyDescent="0.4">
      <c r="AF131" s="19">
        <v>20060815</v>
      </c>
      <c r="AG131" s="18">
        <v>936.83</v>
      </c>
    </row>
    <row r="132" spans="32:33" x14ac:dyDescent="0.4">
      <c r="AF132" s="19">
        <v>20060816</v>
      </c>
      <c r="AG132" s="17">
        <v>941.76</v>
      </c>
    </row>
    <row r="133" spans="32:33" x14ac:dyDescent="0.4">
      <c r="AF133" s="19">
        <v>20060817</v>
      </c>
      <c r="AG133" s="17">
        <v>941.58</v>
      </c>
    </row>
    <row r="134" spans="32:33" x14ac:dyDescent="0.4">
      <c r="AF134" s="19">
        <v>20060818</v>
      </c>
      <c r="AG134" s="17">
        <v>944.12</v>
      </c>
    </row>
    <row r="135" spans="32:33" x14ac:dyDescent="0.4">
      <c r="AF135" s="19">
        <v>20060819</v>
      </c>
      <c r="AG135" s="17">
        <v>944.05</v>
      </c>
    </row>
    <row r="136" spans="32:33" x14ac:dyDescent="0.4">
      <c r="AF136" s="19">
        <v>20060820</v>
      </c>
      <c r="AG136" s="18">
        <v>943.98</v>
      </c>
    </row>
    <row r="137" spans="32:33" x14ac:dyDescent="0.4">
      <c r="AF137" s="19">
        <v>20060821</v>
      </c>
      <c r="AG137" s="17">
        <v>937.79</v>
      </c>
    </row>
    <row r="138" spans="32:33" x14ac:dyDescent="0.4">
      <c r="AF138" s="19">
        <v>20060822</v>
      </c>
      <c r="AG138" s="17">
        <v>943.66</v>
      </c>
    </row>
    <row r="139" spans="32:33" x14ac:dyDescent="0.4">
      <c r="AF139" s="19">
        <v>20060823</v>
      </c>
      <c r="AG139" s="17">
        <v>939.23</v>
      </c>
    </row>
    <row r="140" spans="32:33" x14ac:dyDescent="0.4">
      <c r="AF140" s="19">
        <v>20060824</v>
      </c>
      <c r="AG140" s="17">
        <v>939.64</v>
      </c>
    </row>
    <row r="141" spans="32:33" x14ac:dyDescent="0.4">
      <c r="AF141" s="19">
        <v>20060825</v>
      </c>
      <c r="AG141" s="18">
        <v>948.76</v>
      </c>
    </row>
    <row r="142" spans="32:33" x14ac:dyDescent="0.4">
      <c r="AF142" s="19">
        <v>20060826</v>
      </c>
      <c r="AG142" s="17">
        <v>948.69</v>
      </c>
    </row>
    <row r="143" spans="32:33" x14ac:dyDescent="0.4">
      <c r="AF143" s="19">
        <v>20060827</v>
      </c>
      <c r="AG143" s="17">
        <v>948.62</v>
      </c>
    </row>
    <row r="144" spans="32:33" x14ac:dyDescent="0.4">
      <c r="AF144" s="19">
        <v>20060828</v>
      </c>
      <c r="AG144" s="17">
        <v>948.05</v>
      </c>
    </row>
    <row r="145" spans="32:33" x14ac:dyDescent="0.4">
      <c r="AF145" s="19">
        <v>20060829</v>
      </c>
      <c r="AG145" s="17">
        <v>959.88</v>
      </c>
    </row>
    <row r="146" spans="32:33" x14ac:dyDescent="0.4">
      <c r="AF146" s="19">
        <v>20060830</v>
      </c>
      <c r="AG146" s="18">
        <v>957.11</v>
      </c>
    </row>
    <row r="147" spans="32:33" x14ac:dyDescent="0.4">
      <c r="AF147" s="19">
        <v>20060831</v>
      </c>
      <c r="AG147" s="17">
        <v>964.65</v>
      </c>
    </row>
    <row r="148" spans="32:33" x14ac:dyDescent="0.4">
      <c r="AF148" s="19">
        <v>20060901</v>
      </c>
      <c r="AG148" s="17">
        <v>966.25</v>
      </c>
    </row>
    <row r="149" spans="32:33" x14ac:dyDescent="0.4">
      <c r="AF149" s="19">
        <v>20060902</v>
      </c>
      <c r="AG149" s="17">
        <v>966.18</v>
      </c>
    </row>
    <row r="150" spans="32:33" x14ac:dyDescent="0.4">
      <c r="AF150" s="19">
        <v>20060903</v>
      </c>
      <c r="AG150" s="17">
        <v>966.1</v>
      </c>
    </row>
    <row r="151" spans="32:33" x14ac:dyDescent="0.4">
      <c r="AF151" s="19">
        <v>20060904</v>
      </c>
      <c r="AG151" s="18">
        <v>969.48</v>
      </c>
    </row>
    <row r="152" spans="32:33" x14ac:dyDescent="0.4">
      <c r="AF152" s="19">
        <v>20060905</v>
      </c>
      <c r="AG152" s="17">
        <v>971.65</v>
      </c>
    </row>
    <row r="153" spans="32:33" x14ac:dyDescent="0.4">
      <c r="AF153" s="19">
        <v>20060906</v>
      </c>
      <c r="AG153" s="17">
        <v>971.65</v>
      </c>
    </row>
    <row r="154" spans="32:33" x14ac:dyDescent="0.4">
      <c r="AF154" s="19">
        <v>20060907</v>
      </c>
      <c r="AG154" s="17">
        <v>972.66</v>
      </c>
    </row>
    <row r="155" spans="32:33" x14ac:dyDescent="0.4">
      <c r="AF155" s="19">
        <v>20060908</v>
      </c>
      <c r="AG155" s="17">
        <v>973.28</v>
      </c>
    </row>
    <row r="156" spans="32:33" x14ac:dyDescent="0.4">
      <c r="AF156" s="19">
        <v>20060909</v>
      </c>
      <c r="AG156" s="18">
        <v>973.21</v>
      </c>
    </row>
    <row r="157" spans="32:33" x14ac:dyDescent="0.4">
      <c r="AF157" s="19">
        <v>20060910</v>
      </c>
      <c r="AG157" s="17">
        <v>973.14</v>
      </c>
    </row>
    <row r="158" spans="32:33" x14ac:dyDescent="0.4">
      <c r="AF158" s="19">
        <v>20060911</v>
      </c>
      <c r="AG158" s="17">
        <v>966.7</v>
      </c>
    </row>
    <row r="159" spans="32:33" x14ac:dyDescent="0.4">
      <c r="AF159" s="19">
        <v>20060912</v>
      </c>
      <c r="AG159" s="17">
        <v>964.24</v>
      </c>
    </row>
    <row r="160" spans="32:33" x14ac:dyDescent="0.4">
      <c r="AF160" s="19">
        <v>20060913</v>
      </c>
      <c r="AG160" s="17">
        <v>969.78</v>
      </c>
    </row>
    <row r="161" spans="32:33" x14ac:dyDescent="0.4">
      <c r="AF161" s="19">
        <v>20060914</v>
      </c>
      <c r="AG161" s="18">
        <v>975.17</v>
      </c>
    </row>
    <row r="162" spans="32:33" x14ac:dyDescent="0.4">
      <c r="AF162" s="19">
        <v>20060915</v>
      </c>
      <c r="AG162" s="17">
        <v>980.16</v>
      </c>
    </row>
    <row r="163" spans="32:33" x14ac:dyDescent="0.4">
      <c r="AF163" s="19">
        <v>20060916</v>
      </c>
      <c r="AG163" s="17">
        <v>980.09</v>
      </c>
    </row>
    <row r="164" spans="32:33" x14ac:dyDescent="0.4">
      <c r="AF164" s="19">
        <v>20060917</v>
      </c>
      <c r="AG164" s="17">
        <v>980.02</v>
      </c>
    </row>
    <row r="165" spans="32:33" x14ac:dyDescent="0.4">
      <c r="AF165" s="19">
        <v>20060918</v>
      </c>
      <c r="AG165" s="17">
        <v>985.69</v>
      </c>
    </row>
    <row r="166" spans="32:33" x14ac:dyDescent="0.4">
      <c r="AF166" s="19">
        <v>20060919</v>
      </c>
      <c r="AG166" s="18">
        <v>983.71</v>
      </c>
    </row>
    <row r="167" spans="32:33" x14ac:dyDescent="0.4">
      <c r="AF167" s="19">
        <v>20060920</v>
      </c>
      <c r="AG167" s="17">
        <v>984.35</v>
      </c>
    </row>
    <row r="168" spans="32:33" x14ac:dyDescent="0.4">
      <c r="AF168" s="19">
        <v>20060921</v>
      </c>
      <c r="AG168" s="17">
        <v>986.3</v>
      </c>
    </row>
    <row r="169" spans="32:33" x14ac:dyDescent="0.4">
      <c r="AF169" s="19">
        <v>20060922</v>
      </c>
      <c r="AG169" s="17">
        <v>984.76</v>
      </c>
    </row>
    <row r="170" spans="32:33" x14ac:dyDescent="0.4">
      <c r="AF170" s="19">
        <v>20060923</v>
      </c>
      <c r="AG170" s="17">
        <v>984.69</v>
      </c>
    </row>
    <row r="171" spans="32:33" x14ac:dyDescent="0.4">
      <c r="AF171" s="19">
        <v>20060924</v>
      </c>
      <c r="AG171" s="18">
        <v>984.61</v>
      </c>
    </row>
    <row r="172" spans="32:33" x14ac:dyDescent="0.4">
      <c r="AF172" s="19">
        <v>20060925</v>
      </c>
      <c r="AG172" s="17">
        <v>992.1</v>
      </c>
    </row>
    <row r="173" spans="32:33" x14ac:dyDescent="0.4">
      <c r="AF173" s="19">
        <v>20060926</v>
      </c>
      <c r="AG173" s="17">
        <v>986.99</v>
      </c>
    </row>
    <row r="174" spans="32:33" x14ac:dyDescent="0.4">
      <c r="AF174" s="19">
        <v>20060927</v>
      </c>
      <c r="AG174" s="17">
        <v>994.7</v>
      </c>
    </row>
    <row r="175" spans="32:33" x14ac:dyDescent="0.4">
      <c r="AF175" s="19">
        <v>20060928</v>
      </c>
      <c r="AG175" s="17">
        <v>997.7</v>
      </c>
    </row>
    <row r="176" spans="32:33" x14ac:dyDescent="0.4">
      <c r="AF176" s="19">
        <v>20060929</v>
      </c>
      <c r="AG176" s="18">
        <v>1001.77</v>
      </c>
    </row>
    <row r="177" spans="32:33" x14ac:dyDescent="0.4">
      <c r="AF177" s="19">
        <v>20060930</v>
      </c>
      <c r="AG177" s="17">
        <v>1001.69</v>
      </c>
    </row>
    <row r="178" spans="32:33" x14ac:dyDescent="0.4">
      <c r="AF178" s="19">
        <v>20061001</v>
      </c>
      <c r="AG178" s="17">
        <v>1001.62</v>
      </c>
    </row>
    <row r="179" spans="32:33" x14ac:dyDescent="0.4">
      <c r="AF179" s="19">
        <v>20061002</v>
      </c>
      <c r="AG179" s="17">
        <v>1003.27</v>
      </c>
    </row>
    <row r="180" spans="32:33" x14ac:dyDescent="0.4">
      <c r="AF180" s="19">
        <v>20061003</v>
      </c>
      <c r="AG180" s="17">
        <v>1003.19</v>
      </c>
    </row>
    <row r="181" spans="32:33" x14ac:dyDescent="0.4">
      <c r="AF181" s="19">
        <v>20061004</v>
      </c>
      <c r="AG181" s="18">
        <v>990.83</v>
      </c>
    </row>
    <row r="182" spans="32:33" x14ac:dyDescent="0.4">
      <c r="AF182" s="19">
        <v>20061005</v>
      </c>
      <c r="AG182" s="17">
        <v>990.76</v>
      </c>
    </row>
    <row r="183" spans="32:33" x14ac:dyDescent="0.4">
      <c r="AF183" s="19">
        <v>20061006</v>
      </c>
      <c r="AG183" s="17">
        <v>990.68</v>
      </c>
    </row>
    <row r="184" spans="32:33" x14ac:dyDescent="0.4">
      <c r="AF184" s="19">
        <v>20061007</v>
      </c>
      <c r="AG184" s="17">
        <v>990.6</v>
      </c>
    </row>
    <row r="185" spans="32:33" x14ac:dyDescent="0.4">
      <c r="AF185" s="19">
        <v>20061008</v>
      </c>
      <c r="AG185" s="17">
        <v>990.53</v>
      </c>
    </row>
    <row r="186" spans="32:33" x14ac:dyDescent="0.4">
      <c r="AF186" s="19">
        <v>20061009</v>
      </c>
      <c r="AG186" s="18">
        <v>950.99</v>
      </c>
    </row>
    <row r="187" spans="32:33" x14ac:dyDescent="0.4">
      <c r="AF187" s="19">
        <v>20061010</v>
      </c>
      <c r="AG187" s="17">
        <v>963.96</v>
      </c>
    </row>
    <row r="188" spans="32:33" x14ac:dyDescent="0.4">
      <c r="AF188" s="19">
        <v>20061011</v>
      </c>
      <c r="AG188" s="17">
        <v>961.87</v>
      </c>
    </row>
    <row r="189" spans="32:33" x14ac:dyDescent="0.4">
      <c r="AF189" s="19">
        <v>20061012</v>
      </c>
      <c r="AG189" s="17">
        <v>967.98</v>
      </c>
    </row>
    <row r="190" spans="32:33" x14ac:dyDescent="0.4">
      <c r="AF190" s="19">
        <v>20061013</v>
      </c>
      <c r="AG190" s="17">
        <v>981.35</v>
      </c>
    </row>
    <row r="191" spans="32:33" x14ac:dyDescent="0.4">
      <c r="AF191" s="19">
        <v>20061014</v>
      </c>
      <c r="AG191" s="18">
        <v>981.27</v>
      </c>
    </row>
    <row r="192" spans="32:33" x14ac:dyDescent="0.4">
      <c r="AF192" s="19">
        <v>20061015</v>
      </c>
      <c r="AG192" s="17">
        <v>981.19</v>
      </c>
    </row>
    <row r="193" spans="32:33" x14ac:dyDescent="0.4">
      <c r="AF193" s="19">
        <v>20061016</v>
      </c>
      <c r="AG193" s="17">
        <v>983.31</v>
      </c>
    </row>
    <row r="194" spans="32:33" x14ac:dyDescent="0.4">
      <c r="AF194" s="19">
        <v>20061017</v>
      </c>
      <c r="AG194" s="17">
        <v>978.8</v>
      </c>
    </row>
    <row r="195" spans="32:33" x14ac:dyDescent="0.4">
      <c r="AF195" s="19">
        <v>20061018</v>
      </c>
      <c r="AG195" s="17">
        <v>980.03</v>
      </c>
    </row>
    <row r="196" spans="32:33" x14ac:dyDescent="0.4">
      <c r="AF196" s="19">
        <v>20061019</v>
      </c>
      <c r="AG196" s="18">
        <v>980.67</v>
      </c>
    </row>
    <row r="197" spans="32:33" x14ac:dyDescent="0.4">
      <c r="AF197" s="19">
        <v>20061020</v>
      </c>
      <c r="AG197" s="17">
        <v>983.87</v>
      </c>
    </row>
    <row r="198" spans="32:33" x14ac:dyDescent="0.4">
      <c r="AF198" s="19">
        <v>20061021</v>
      </c>
      <c r="AG198" s="17">
        <v>983.79</v>
      </c>
    </row>
    <row r="199" spans="32:33" x14ac:dyDescent="0.4">
      <c r="AF199" s="19">
        <v>20061022</v>
      </c>
      <c r="AG199" s="17">
        <v>983.72</v>
      </c>
    </row>
    <row r="200" spans="32:33" x14ac:dyDescent="0.4">
      <c r="AF200" s="19">
        <v>20061023</v>
      </c>
      <c r="AG200" s="17">
        <v>988.4</v>
      </c>
    </row>
    <row r="201" spans="32:33" x14ac:dyDescent="0.4">
      <c r="AF201" s="19">
        <v>20061024</v>
      </c>
      <c r="AG201" s="18">
        <v>988.44</v>
      </c>
    </row>
    <row r="202" spans="32:33" x14ac:dyDescent="0.4">
      <c r="AF202" s="19">
        <v>20061025</v>
      </c>
      <c r="AG202" s="17">
        <v>989.72</v>
      </c>
    </row>
    <row r="203" spans="32:33" x14ac:dyDescent="0.4">
      <c r="AF203" s="19">
        <v>20061026</v>
      </c>
      <c r="AG203" s="17">
        <v>994.04</v>
      </c>
    </row>
    <row r="204" spans="32:33" x14ac:dyDescent="0.4">
      <c r="AF204" s="19">
        <v>20061027</v>
      </c>
      <c r="AG204" s="17">
        <v>997.74</v>
      </c>
    </row>
    <row r="205" spans="32:33" x14ac:dyDescent="0.4">
      <c r="AF205" s="19">
        <v>20061028</v>
      </c>
      <c r="AG205" s="17">
        <v>997.66</v>
      </c>
    </row>
    <row r="206" spans="32:33" x14ac:dyDescent="0.4">
      <c r="AF206" s="19">
        <v>20061029</v>
      </c>
      <c r="AG206" s="18">
        <v>997.58</v>
      </c>
    </row>
    <row r="207" spans="32:33" x14ac:dyDescent="0.4">
      <c r="AF207" s="19">
        <v>20061030</v>
      </c>
      <c r="AG207" s="17">
        <v>996.64</v>
      </c>
    </row>
    <row r="208" spans="32:33" x14ac:dyDescent="0.4">
      <c r="AF208" s="19">
        <v>20061031</v>
      </c>
      <c r="AG208" s="17">
        <v>1008.83</v>
      </c>
    </row>
    <row r="209" spans="32:33" x14ac:dyDescent="0.4">
      <c r="AF209" s="19">
        <v>20061101</v>
      </c>
      <c r="AG209" s="17">
        <v>1019.97</v>
      </c>
    </row>
    <row r="210" spans="32:33" x14ac:dyDescent="0.4">
      <c r="AF210" s="19">
        <v>20061102</v>
      </c>
      <c r="AG210" s="17">
        <v>1026.9000000000001</v>
      </c>
    </row>
    <row r="211" spans="32:33" x14ac:dyDescent="0.4">
      <c r="AF211" s="19">
        <v>20061103</v>
      </c>
      <c r="AG211" s="18">
        <v>1029.57</v>
      </c>
    </row>
    <row r="212" spans="32:33" x14ac:dyDescent="0.4">
      <c r="AF212" s="19">
        <v>20061104</v>
      </c>
      <c r="AG212" s="17">
        <v>1029.49</v>
      </c>
    </row>
    <row r="213" spans="32:33" x14ac:dyDescent="0.4">
      <c r="AF213" s="19">
        <v>20061105</v>
      </c>
      <c r="AG213" s="17">
        <v>1029.4100000000001</v>
      </c>
    </row>
    <row r="214" spans="32:33" x14ac:dyDescent="0.4">
      <c r="AF214" s="19">
        <v>20061106</v>
      </c>
      <c r="AG214" s="17">
        <v>1029.2</v>
      </c>
    </row>
    <row r="215" spans="32:33" x14ac:dyDescent="0.4">
      <c r="AF215" s="19">
        <v>20061107</v>
      </c>
      <c r="AG215" s="17">
        <v>1033.8399999999999</v>
      </c>
    </row>
    <row r="216" spans="32:33" x14ac:dyDescent="0.4">
      <c r="AF216" s="19">
        <v>20061108</v>
      </c>
      <c r="AG216" s="18">
        <v>1033.43</v>
      </c>
    </row>
    <row r="217" spans="32:33" x14ac:dyDescent="0.4">
      <c r="AF217" s="19">
        <v>20061109</v>
      </c>
      <c r="AG217" s="17">
        <v>1039.76</v>
      </c>
    </row>
    <row r="218" spans="32:33" x14ac:dyDescent="0.4">
      <c r="AF218" s="19">
        <v>20061110</v>
      </c>
      <c r="AG218" s="17">
        <v>1041.6099999999999</v>
      </c>
    </row>
    <row r="219" spans="32:33" x14ac:dyDescent="0.4">
      <c r="AF219" s="19">
        <v>20061111</v>
      </c>
      <c r="AG219" s="17">
        <v>1041.54</v>
      </c>
    </row>
    <row r="220" spans="32:33" x14ac:dyDescent="0.4">
      <c r="AF220" s="19">
        <v>20061112</v>
      </c>
      <c r="AG220" s="17">
        <v>1041.46</v>
      </c>
    </row>
    <row r="221" spans="32:33" x14ac:dyDescent="0.4">
      <c r="AF221" s="19">
        <v>20061113</v>
      </c>
      <c r="AG221" s="18">
        <v>1044.3599999999999</v>
      </c>
    </row>
    <row r="222" spans="32:33" x14ac:dyDescent="0.4">
      <c r="AF222" s="19">
        <v>20061114</v>
      </c>
      <c r="AG222" s="17">
        <v>1048.6199999999999</v>
      </c>
    </row>
    <row r="223" spans="32:33" x14ac:dyDescent="0.4">
      <c r="AF223" s="19">
        <v>20061115</v>
      </c>
      <c r="AG223" s="17">
        <v>1049.6500000000001</v>
      </c>
    </row>
    <row r="224" spans="32:33" x14ac:dyDescent="0.4">
      <c r="AF224" s="19">
        <v>20061116</v>
      </c>
      <c r="AG224" s="17">
        <v>1051.8499999999999</v>
      </c>
    </row>
    <row r="225" spans="32:33" x14ac:dyDescent="0.4">
      <c r="AF225" s="19">
        <v>20061117</v>
      </c>
      <c r="AG225" s="17">
        <v>1055.71</v>
      </c>
    </row>
    <row r="226" spans="32:33" x14ac:dyDescent="0.4">
      <c r="AF226" s="19">
        <v>20061118</v>
      </c>
      <c r="AG226" s="18">
        <v>1055.6300000000001</v>
      </c>
    </row>
    <row r="227" spans="32:33" x14ac:dyDescent="0.4">
      <c r="AF227" s="19">
        <v>20061119</v>
      </c>
      <c r="AG227" s="17">
        <v>1055.55</v>
      </c>
    </row>
    <row r="228" spans="32:33" x14ac:dyDescent="0.4">
      <c r="AF228" s="19">
        <v>20061120</v>
      </c>
      <c r="AG228" s="17">
        <v>1053.1500000000001</v>
      </c>
    </row>
    <row r="229" spans="32:33" x14ac:dyDescent="0.4">
      <c r="AF229" s="19">
        <v>20061121</v>
      </c>
      <c r="AG229" s="17">
        <v>1058.3800000000001</v>
      </c>
    </row>
    <row r="230" spans="32:33" x14ac:dyDescent="0.4">
      <c r="AF230" s="19">
        <v>20061122</v>
      </c>
      <c r="AG230" s="17">
        <v>1070.3</v>
      </c>
    </row>
    <row r="231" spans="32:33" x14ac:dyDescent="0.4">
      <c r="AF231" s="19">
        <v>20061123</v>
      </c>
      <c r="AG231" s="18">
        <v>1069.0999999999999</v>
      </c>
    </row>
    <row r="232" spans="32:33" x14ac:dyDescent="0.4">
      <c r="AF232" s="19">
        <v>20061124</v>
      </c>
      <c r="AG232" s="17">
        <v>1069.82</v>
      </c>
    </row>
    <row r="233" spans="32:33" x14ac:dyDescent="0.4">
      <c r="AF233" s="19">
        <v>20061125</v>
      </c>
      <c r="AG233" s="17">
        <v>1069.75</v>
      </c>
    </row>
    <row r="234" spans="32:33" x14ac:dyDescent="0.4">
      <c r="AF234" s="19">
        <v>20061126</v>
      </c>
      <c r="AG234" s="17">
        <v>1069.67</v>
      </c>
    </row>
    <row r="235" spans="32:33" x14ac:dyDescent="0.4">
      <c r="AF235" s="19">
        <v>20061127</v>
      </c>
      <c r="AG235" s="17">
        <v>1070.25</v>
      </c>
    </row>
    <row r="236" spans="32:33" x14ac:dyDescent="0.4">
      <c r="AF236" s="19">
        <v>20061128</v>
      </c>
      <c r="AG236" s="18">
        <v>1066.6600000000001</v>
      </c>
    </row>
    <row r="237" spans="32:33" x14ac:dyDescent="0.4">
      <c r="AF237" s="19">
        <v>20061129</v>
      </c>
      <c r="AG237" s="17">
        <v>1071.27</v>
      </c>
    </row>
    <row r="238" spans="32:33" x14ac:dyDescent="0.4">
      <c r="AF238" s="19">
        <v>20061130</v>
      </c>
      <c r="AG238" s="17">
        <v>1079.06</v>
      </c>
    </row>
    <row r="239" spans="32:33" x14ac:dyDescent="0.4">
      <c r="AF239" s="19">
        <v>20061201</v>
      </c>
      <c r="AG239" s="17">
        <v>1078.52</v>
      </c>
    </row>
    <row r="240" spans="32:33" x14ac:dyDescent="0.4">
      <c r="AF240" s="19">
        <v>20061202</v>
      </c>
      <c r="AG240" s="17">
        <v>1078.45</v>
      </c>
    </row>
    <row r="241" spans="32:33" x14ac:dyDescent="0.4">
      <c r="AF241" s="19">
        <v>20061203</v>
      </c>
      <c r="AG241" s="18">
        <v>1078.3699999999999</v>
      </c>
    </row>
    <row r="242" spans="32:33" x14ac:dyDescent="0.4">
      <c r="AF242" s="19">
        <v>20061204</v>
      </c>
      <c r="AG242" s="17">
        <v>1080.9100000000001</v>
      </c>
    </row>
    <row r="243" spans="32:33" x14ac:dyDescent="0.4">
      <c r="AF243" s="19">
        <v>20061205</v>
      </c>
      <c r="AG243" s="17">
        <v>1079.51</v>
      </c>
    </row>
    <row r="244" spans="32:33" x14ac:dyDescent="0.4">
      <c r="AF244" s="19">
        <v>20061206</v>
      </c>
      <c r="AG244" s="17">
        <v>1076.6300000000001</v>
      </c>
    </row>
    <row r="245" spans="32:33" x14ac:dyDescent="0.4">
      <c r="AF245" s="19">
        <v>20061207</v>
      </c>
      <c r="AG245" s="17">
        <v>1075.44</v>
      </c>
    </row>
    <row r="246" spans="32:33" x14ac:dyDescent="0.4">
      <c r="AF246" s="19">
        <v>20061208</v>
      </c>
      <c r="AG246" s="18">
        <v>1069.18</v>
      </c>
    </row>
    <row r="247" spans="32:33" x14ac:dyDescent="0.4">
      <c r="AF247" s="19">
        <v>20061209</v>
      </c>
      <c r="AG247" s="17">
        <v>1069.1099999999999</v>
      </c>
    </row>
    <row r="248" spans="32:33" x14ac:dyDescent="0.4">
      <c r="AF248" s="19">
        <v>20061210</v>
      </c>
      <c r="AG248" s="17">
        <v>1069.03</v>
      </c>
    </row>
    <row r="249" spans="32:33" x14ac:dyDescent="0.4">
      <c r="AF249" s="19">
        <v>20061211</v>
      </c>
      <c r="AG249" s="17">
        <v>1069.98</v>
      </c>
    </row>
    <row r="250" spans="32:33" x14ac:dyDescent="0.4">
      <c r="AF250" s="19">
        <v>20061212</v>
      </c>
      <c r="AG250" s="17">
        <v>1058.8900000000001</v>
      </c>
    </row>
    <row r="251" spans="32:33" x14ac:dyDescent="0.4">
      <c r="AF251" s="19">
        <v>20061213</v>
      </c>
      <c r="AG251" s="18">
        <v>1061.28</v>
      </c>
    </row>
    <row r="252" spans="32:33" x14ac:dyDescent="0.4">
      <c r="AF252" s="19">
        <v>20061214</v>
      </c>
      <c r="AG252" s="17">
        <v>1070.42</v>
      </c>
    </row>
    <row r="253" spans="32:33" x14ac:dyDescent="0.4">
      <c r="AF253" s="19">
        <v>20061215</v>
      </c>
      <c r="AG253" s="17">
        <v>1078.6600000000001</v>
      </c>
    </row>
    <row r="254" spans="32:33" x14ac:dyDescent="0.4">
      <c r="AF254" s="19">
        <v>20061216</v>
      </c>
      <c r="AG254" s="17">
        <v>1078.58</v>
      </c>
    </row>
    <row r="255" spans="32:33" x14ac:dyDescent="0.4">
      <c r="AF255" s="19">
        <v>20061217</v>
      </c>
      <c r="AG255" s="17">
        <v>1078.5</v>
      </c>
    </row>
    <row r="256" spans="3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1001"/>
  <sheetViews>
    <sheetView topLeftCell="T977" workbookViewId="0">
      <selection activeCell="B999" sqref="B999:AM999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01"/>
  <sheetViews>
    <sheetView topLeftCell="BC178" workbookViewId="0">
      <selection activeCell="BW201" sqref="BW201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</row>
    <row r="1000" spans="1:39" x14ac:dyDescent="0.4">
      <c r="A1000">
        <v>998</v>
      </c>
      <c r="B1000">
        <v>20080229</v>
      </c>
      <c r="C1000">
        <v>20080530</v>
      </c>
      <c r="D1000">
        <v>20080829</v>
      </c>
      <c r="E1000">
        <v>20081128</v>
      </c>
      <c r="F1000">
        <v>20090227</v>
      </c>
      <c r="G1000">
        <v>20090529</v>
      </c>
      <c r="H1000">
        <v>20090831</v>
      </c>
      <c r="I1000">
        <v>20091130</v>
      </c>
      <c r="J1000">
        <v>20100226</v>
      </c>
      <c r="K1000">
        <v>20100531</v>
      </c>
      <c r="L1000">
        <v>20100831</v>
      </c>
      <c r="M1000">
        <v>20101130</v>
      </c>
      <c r="N1000">
        <v>20110228</v>
      </c>
      <c r="O1000">
        <v>20110531</v>
      </c>
      <c r="P1000">
        <v>20110831</v>
      </c>
      <c r="Q1000">
        <v>20111130</v>
      </c>
      <c r="R1000">
        <v>20120229</v>
      </c>
      <c r="S1000">
        <v>20120531</v>
      </c>
      <c r="T1000">
        <v>20120831</v>
      </c>
      <c r="U1000">
        <v>20121130</v>
      </c>
      <c r="V1000">
        <v>20130228</v>
      </c>
      <c r="W1000">
        <v>20130531</v>
      </c>
      <c r="X1000">
        <v>20130830</v>
      </c>
      <c r="Y1000">
        <v>20131129</v>
      </c>
      <c r="Z1000">
        <v>20140228</v>
      </c>
      <c r="AA1000">
        <v>20140530</v>
      </c>
      <c r="AB1000">
        <v>20140829</v>
      </c>
      <c r="AC1000">
        <v>20141128</v>
      </c>
      <c r="AD1000">
        <v>20150227</v>
      </c>
      <c r="AE1000">
        <v>20150529</v>
      </c>
      <c r="AF1000">
        <v>20150831</v>
      </c>
      <c r="AG1000">
        <v>20151130</v>
      </c>
      <c r="AH1000">
        <v>20160229</v>
      </c>
      <c r="AI1000">
        <v>20160531</v>
      </c>
      <c r="AJ1000">
        <v>20160831</v>
      </c>
      <c r="AK1000">
        <v>20161130</v>
      </c>
      <c r="AL1000">
        <v>20170228</v>
      </c>
      <c r="AM1000">
        <v>20170531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01"/>
  <sheetViews>
    <sheetView workbookViewId="0">
      <selection sqref="A1:XFD1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001"/>
  <sheetViews>
    <sheetView topLeftCell="CS168" workbookViewId="0">
      <selection activeCell="DF168" sqref="DF168"/>
    </sheetView>
  </sheetViews>
  <sheetFormatPr defaultRowHeight="17.399999999999999" x14ac:dyDescent="0.4"/>
  <cols>
    <col min="110" max="110" width="11.5" customWidth="1"/>
  </cols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12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12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</row>
    <row r="17" spans="1:11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1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</row>
    <row r="19" spans="1:11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</row>
    <row r="20" spans="1:11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</row>
    <row r="21" spans="1:11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</row>
    <row r="22" spans="1:11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</row>
    <row r="23" spans="1:11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</row>
    <row r="24" spans="1:11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1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1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1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1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1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Results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2017-06-15T07:19:26Z</dcterms:modified>
</cp:coreProperties>
</file>
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"/>
    </mc:Choice>
  </mc:AlternateContent>
  <bookViews>
    <workbookView xWindow="0" yWindow="0" windowWidth="23040" windowHeight="9108" activeTab="2"/>
  </bookViews>
  <sheets>
    <sheet name="5%안날린거" sheetId="1" r:id="rId1"/>
    <sheet name="양끝5%날린거" sheetId="2" r:id="rId2"/>
    <sheet name="z_score&gt;0 vs z_score상위 30%" sheetId="3" r:id="rId3"/>
  </sheets>
  <definedNames>
    <definedName name="_xlnm._FilterDatabase" localSheetId="0" hidden="1">'5%안날린거'!$Y$1:$AI$95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45" i="3" l="1"/>
  <c r="Y244" i="3"/>
  <c r="Y243" i="3"/>
  <c r="Y242" i="3"/>
  <c r="Y241" i="3"/>
  <c r="Y240" i="3"/>
  <c r="Y239" i="3"/>
  <c r="Y238" i="3"/>
  <c r="Y237" i="3"/>
  <c r="Y236" i="3"/>
  <c r="Y235" i="3"/>
  <c r="Y234" i="3"/>
  <c r="Y233" i="3"/>
  <c r="Y232" i="3"/>
  <c r="Y231" i="3"/>
  <c r="Y230" i="3"/>
  <c r="Y229" i="3"/>
  <c r="Y228" i="3"/>
  <c r="Y227" i="3"/>
  <c r="Y226" i="3"/>
  <c r="Y225" i="3"/>
  <c r="Y224" i="3"/>
  <c r="Y223" i="3"/>
  <c r="Y222" i="3"/>
  <c r="Y221" i="3"/>
  <c r="Y220" i="3"/>
  <c r="Y219" i="3"/>
  <c r="Y218" i="3"/>
  <c r="Y217" i="3"/>
  <c r="Y216" i="3"/>
  <c r="Y215" i="3"/>
  <c r="Y214" i="3"/>
  <c r="Y213" i="3"/>
  <c r="Y212" i="3"/>
  <c r="Y211" i="3"/>
  <c r="Y210" i="3"/>
  <c r="Y209" i="3"/>
  <c r="Y208" i="3"/>
  <c r="Y207" i="3"/>
  <c r="Y206" i="3"/>
  <c r="Y205" i="3"/>
  <c r="Y204" i="3"/>
  <c r="Y203" i="3"/>
  <c r="Y202" i="3"/>
  <c r="Y201" i="3"/>
  <c r="Y200" i="3"/>
  <c r="Y199" i="3"/>
  <c r="Y198" i="3"/>
  <c r="Y197" i="3"/>
  <c r="Y196" i="3"/>
  <c r="Y195" i="3"/>
  <c r="Y194" i="3"/>
  <c r="Y193" i="3"/>
  <c r="Y192" i="3"/>
  <c r="Y191" i="3"/>
  <c r="Y190" i="3"/>
  <c r="Y189" i="3"/>
  <c r="Y188" i="3"/>
  <c r="Y187" i="3"/>
  <c r="Y186" i="3"/>
  <c r="Y185" i="3"/>
  <c r="Y184" i="3"/>
  <c r="Y183" i="3"/>
  <c r="Y182" i="3"/>
  <c r="Y181" i="3"/>
  <c r="Y180" i="3"/>
  <c r="Y179" i="3"/>
  <c r="Y178" i="3"/>
  <c r="Y177" i="3"/>
  <c r="Y176" i="3"/>
  <c r="Y175" i="3"/>
  <c r="Y174" i="3"/>
  <c r="Y173" i="3"/>
  <c r="Y172" i="3"/>
  <c r="Y171" i="3"/>
  <c r="Y170" i="3"/>
  <c r="Y169" i="3"/>
  <c r="Y168" i="3"/>
  <c r="Y167" i="3"/>
  <c r="Y166" i="3"/>
  <c r="Y165" i="3"/>
  <c r="Y164" i="3"/>
  <c r="Y163" i="3"/>
  <c r="Y162" i="3"/>
  <c r="Y161" i="3"/>
  <c r="Y160" i="3"/>
  <c r="Y159" i="3"/>
  <c r="Y158" i="3"/>
  <c r="Y157" i="3"/>
  <c r="Y156" i="3"/>
  <c r="Y155" i="3"/>
  <c r="Y154" i="3"/>
  <c r="Y153" i="3"/>
  <c r="Y152" i="3"/>
  <c r="Y151" i="3"/>
  <c r="Y150" i="3"/>
  <c r="Y149" i="3"/>
  <c r="Y148" i="3"/>
  <c r="Y147" i="3"/>
  <c r="Y146" i="3"/>
  <c r="Y145" i="3"/>
  <c r="Y144" i="3"/>
  <c r="Y143" i="3"/>
  <c r="Y142" i="3"/>
  <c r="Y141" i="3"/>
  <c r="Y140" i="3"/>
  <c r="Y139" i="3"/>
  <c r="Y138" i="3"/>
  <c r="Y137" i="3"/>
  <c r="Y136" i="3"/>
  <c r="Y135" i="3"/>
  <c r="Y134" i="3"/>
  <c r="Y133" i="3"/>
  <c r="Y132" i="3"/>
  <c r="Y131" i="3"/>
  <c r="Y130" i="3"/>
  <c r="Y129" i="3"/>
  <c r="Y128" i="3"/>
  <c r="Y127" i="3"/>
  <c r="Y126" i="3"/>
  <c r="Y125" i="3"/>
  <c r="Y124" i="3"/>
  <c r="Y123" i="3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X245" i="3"/>
  <c r="X244" i="3"/>
  <c r="X243" i="3"/>
  <c r="X242" i="3"/>
  <c r="X241" i="3"/>
  <c r="X240" i="3"/>
  <c r="X239" i="3"/>
  <c r="X238" i="3"/>
  <c r="X237" i="3"/>
  <c r="X236" i="3"/>
  <c r="X235" i="3"/>
  <c r="X234" i="3"/>
  <c r="X233" i="3"/>
  <c r="X232" i="3"/>
  <c r="X231" i="3"/>
  <c r="X230" i="3"/>
  <c r="X229" i="3"/>
  <c r="X228" i="3"/>
  <c r="X227" i="3"/>
  <c r="X226" i="3"/>
  <c r="X225" i="3"/>
  <c r="X224" i="3"/>
  <c r="X223" i="3"/>
  <c r="X222" i="3"/>
  <c r="X221" i="3"/>
  <c r="X220" i="3"/>
  <c r="X219" i="3"/>
  <c r="X218" i="3"/>
  <c r="X217" i="3"/>
  <c r="X216" i="3"/>
  <c r="X215" i="3"/>
  <c r="X214" i="3"/>
  <c r="X213" i="3"/>
  <c r="X212" i="3"/>
  <c r="X211" i="3"/>
  <c r="X210" i="3"/>
  <c r="X209" i="3"/>
  <c r="X208" i="3"/>
  <c r="X207" i="3"/>
  <c r="X206" i="3"/>
  <c r="X205" i="3"/>
  <c r="X204" i="3"/>
  <c r="X203" i="3"/>
  <c r="X202" i="3"/>
  <c r="X201" i="3"/>
  <c r="X200" i="3"/>
  <c r="X199" i="3"/>
  <c r="X198" i="3"/>
  <c r="X197" i="3"/>
  <c r="X196" i="3"/>
  <c r="X195" i="3"/>
  <c r="X194" i="3"/>
  <c r="X193" i="3"/>
  <c r="X192" i="3"/>
  <c r="X191" i="3"/>
  <c r="X190" i="3"/>
  <c r="X189" i="3"/>
  <c r="X188" i="3"/>
  <c r="X187" i="3"/>
  <c r="X186" i="3"/>
  <c r="X185" i="3"/>
  <c r="X184" i="3"/>
  <c r="X183" i="3"/>
  <c r="X182" i="3"/>
  <c r="X181" i="3"/>
  <c r="X180" i="3"/>
  <c r="X179" i="3"/>
  <c r="X178" i="3"/>
  <c r="X177" i="3"/>
  <c r="X176" i="3"/>
  <c r="X175" i="3"/>
  <c r="X174" i="3"/>
  <c r="X173" i="3"/>
  <c r="X172" i="3"/>
  <c r="X171" i="3"/>
  <c r="X170" i="3"/>
  <c r="X169" i="3"/>
  <c r="X168" i="3"/>
  <c r="X167" i="3"/>
  <c r="X166" i="3"/>
  <c r="X165" i="3"/>
  <c r="X164" i="3"/>
  <c r="X163" i="3"/>
  <c r="X162" i="3"/>
  <c r="X161" i="3"/>
  <c r="X160" i="3"/>
  <c r="X159" i="3"/>
  <c r="X158" i="3"/>
  <c r="X157" i="3"/>
  <c r="X156" i="3"/>
  <c r="X155" i="3"/>
  <c r="X154" i="3"/>
  <c r="X153" i="3"/>
  <c r="X152" i="3"/>
  <c r="X151" i="3"/>
  <c r="X150" i="3"/>
  <c r="X149" i="3"/>
  <c r="X148" i="3"/>
  <c r="X147" i="3"/>
  <c r="X146" i="3"/>
  <c r="X145" i="3"/>
  <c r="X144" i="3"/>
  <c r="X143" i="3"/>
  <c r="X142" i="3"/>
  <c r="X141" i="3"/>
  <c r="X140" i="3"/>
  <c r="X139" i="3"/>
  <c r="X138" i="3"/>
  <c r="X137" i="3"/>
  <c r="X136" i="3"/>
  <c r="X135" i="3"/>
  <c r="X134" i="3"/>
  <c r="X133" i="3"/>
  <c r="X132" i="3"/>
  <c r="X131" i="3"/>
  <c r="X130" i="3"/>
  <c r="X129" i="3"/>
  <c r="X128" i="3"/>
  <c r="X127" i="3"/>
  <c r="X126" i="3"/>
  <c r="X125" i="3"/>
  <c r="X124" i="3"/>
  <c r="X123" i="3"/>
  <c r="X122" i="3"/>
  <c r="X121" i="3"/>
  <c r="X120" i="3"/>
  <c r="X119" i="3"/>
  <c r="X118" i="3"/>
  <c r="X117" i="3"/>
  <c r="X116" i="3"/>
  <c r="X115" i="3"/>
  <c r="X114" i="3"/>
  <c r="X113" i="3"/>
  <c r="X112" i="3"/>
  <c r="X111" i="3"/>
  <c r="X110" i="3"/>
  <c r="X109" i="3"/>
  <c r="X108" i="3"/>
  <c r="X107" i="3"/>
  <c r="X106" i="3"/>
  <c r="X105" i="3"/>
  <c r="X104" i="3"/>
  <c r="X103" i="3"/>
  <c r="X102" i="3"/>
  <c r="X101" i="3"/>
  <c r="X100" i="3"/>
  <c r="X99" i="3"/>
  <c r="X98" i="3"/>
  <c r="X97" i="3"/>
  <c r="X96" i="3"/>
  <c r="X95" i="3"/>
  <c r="X94" i="3"/>
  <c r="X93" i="3"/>
  <c r="X92" i="3"/>
  <c r="X91" i="3"/>
  <c r="X90" i="3"/>
  <c r="X89" i="3"/>
  <c r="X88" i="3"/>
  <c r="X87" i="3"/>
  <c r="X86" i="3"/>
  <c r="X85" i="3"/>
  <c r="X84" i="3"/>
  <c r="X83" i="3"/>
  <c r="X82" i="3"/>
  <c r="X81" i="3"/>
  <c r="X80" i="3"/>
  <c r="X79" i="3"/>
  <c r="X78" i="3"/>
  <c r="X77" i="3"/>
  <c r="X76" i="3"/>
  <c r="X75" i="3"/>
  <c r="X74" i="3"/>
  <c r="X73" i="3"/>
  <c r="X72" i="3"/>
  <c r="X71" i="3"/>
  <c r="X70" i="3"/>
  <c r="X69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X246" i="3"/>
  <c r="W246" i="3"/>
  <c r="W245" i="3"/>
  <c r="W244" i="3"/>
  <c r="W243" i="3"/>
  <c r="W242" i="3"/>
  <c r="W241" i="3"/>
  <c r="W240" i="3"/>
  <c r="W239" i="3"/>
  <c r="W238" i="3"/>
  <c r="W237" i="3"/>
  <c r="W236" i="3"/>
  <c r="W235" i="3"/>
  <c r="W234" i="3"/>
  <c r="W233" i="3"/>
  <c r="W232" i="3"/>
  <c r="W231" i="3"/>
  <c r="W230" i="3"/>
  <c r="W229" i="3"/>
  <c r="W228" i="3"/>
  <c r="W227" i="3"/>
  <c r="W226" i="3"/>
  <c r="W225" i="3"/>
  <c r="W224" i="3"/>
  <c r="W223" i="3"/>
  <c r="W222" i="3"/>
  <c r="W221" i="3"/>
  <c r="W220" i="3"/>
  <c r="W219" i="3"/>
  <c r="W218" i="3"/>
  <c r="W217" i="3"/>
  <c r="W216" i="3"/>
  <c r="W215" i="3"/>
  <c r="W214" i="3"/>
  <c r="W213" i="3"/>
  <c r="W212" i="3"/>
  <c r="W211" i="3"/>
  <c r="W210" i="3"/>
  <c r="W209" i="3"/>
  <c r="W208" i="3"/>
  <c r="W207" i="3"/>
  <c r="W206" i="3"/>
  <c r="W205" i="3"/>
  <c r="W204" i="3"/>
  <c r="W203" i="3"/>
  <c r="W202" i="3"/>
  <c r="W201" i="3"/>
  <c r="W200" i="3"/>
  <c r="W199" i="3"/>
  <c r="W198" i="3"/>
  <c r="W197" i="3"/>
  <c r="W196" i="3"/>
  <c r="W195" i="3"/>
  <c r="W194" i="3"/>
  <c r="W193" i="3"/>
  <c r="W192" i="3"/>
  <c r="W191" i="3"/>
  <c r="W190" i="3"/>
  <c r="W189" i="3"/>
  <c r="W188" i="3"/>
  <c r="W187" i="3"/>
  <c r="W186" i="3"/>
  <c r="W185" i="3"/>
  <c r="W184" i="3"/>
  <c r="W183" i="3"/>
  <c r="W182" i="3"/>
  <c r="W181" i="3"/>
  <c r="W180" i="3"/>
  <c r="W179" i="3"/>
  <c r="W178" i="3"/>
  <c r="W177" i="3"/>
  <c r="W176" i="3"/>
  <c r="W175" i="3"/>
  <c r="W174" i="3"/>
  <c r="W173" i="3"/>
  <c r="W172" i="3"/>
  <c r="W171" i="3"/>
  <c r="W170" i="3"/>
  <c r="W169" i="3"/>
  <c r="W168" i="3"/>
  <c r="W167" i="3"/>
  <c r="W166" i="3"/>
  <c r="W165" i="3"/>
  <c r="W164" i="3"/>
  <c r="W163" i="3"/>
  <c r="W162" i="3"/>
  <c r="W161" i="3"/>
  <c r="W160" i="3"/>
  <c r="W159" i="3"/>
  <c r="W158" i="3"/>
  <c r="W157" i="3"/>
  <c r="W156" i="3"/>
  <c r="W155" i="3"/>
  <c r="W154" i="3"/>
  <c r="W153" i="3"/>
  <c r="W152" i="3"/>
  <c r="W151" i="3"/>
  <c r="W150" i="3"/>
  <c r="W149" i="3"/>
  <c r="W148" i="3"/>
  <c r="W147" i="3"/>
  <c r="W146" i="3"/>
  <c r="W145" i="3"/>
  <c r="W144" i="3"/>
  <c r="W143" i="3"/>
  <c r="W142" i="3"/>
  <c r="W141" i="3"/>
  <c r="W140" i="3"/>
  <c r="W139" i="3"/>
  <c r="W138" i="3"/>
  <c r="W137" i="3"/>
  <c r="W136" i="3"/>
  <c r="W135" i="3"/>
  <c r="W134" i="3"/>
  <c r="W133" i="3"/>
  <c r="W132" i="3"/>
  <c r="W131" i="3"/>
  <c r="W130" i="3"/>
  <c r="W129" i="3"/>
  <c r="W128" i="3"/>
  <c r="W127" i="3"/>
  <c r="W126" i="3"/>
  <c r="W125" i="3"/>
  <c r="W124" i="3"/>
  <c r="W123" i="3"/>
  <c r="W122" i="3"/>
  <c r="W121" i="3"/>
  <c r="W120" i="3"/>
  <c r="W119" i="3"/>
  <c r="W118" i="3"/>
  <c r="W117" i="3"/>
  <c r="W116" i="3"/>
  <c r="W115" i="3"/>
  <c r="W114" i="3"/>
  <c r="W113" i="3"/>
  <c r="W112" i="3"/>
  <c r="W111" i="3"/>
  <c r="W110" i="3"/>
  <c r="W109" i="3"/>
  <c r="W108" i="3"/>
  <c r="W107" i="3"/>
  <c r="W106" i="3"/>
  <c r="W105" i="3"/>
  <c r="W104" i="3"/>
  <c r="W103" i="3"/>
  <c r="W102" i="3"/>
  <c r="W101" i="3"/>
  <c r="W100" i="3"/>
  <c r="W99" i="3"/>
  <c r="W98" i="3"/>
  <c r="W97" i="3"/>
  <c r="W96" i="3"/>
  <c r="W95" i="3"/>
  <c r="W94" i="3"/>
  <c r="W93" i="3"/>
  <c r="W92" i="3"/>
  <c r="W91" i="3"/>
  <c r="W90" i="3"/>
  <c r="W89" i="3"/>
  <c r="W88" i="3"/>
  <c r="W87" i="3"/>
  <c r="W86" i="3"/>
  <c r="W85" i="3"/>
  <c r="W84" i="3"/>
  <c r="W83" i="3"/>
  <c r="W82" i="3"/>
  <c r="W81" i="3"/>
  <c r="W80" i="3"/>
  <c r="W79" i="3"/>
  <c r="W78" i="3"/>
  <c r="W77" i="3"/>
  <c r="W76" i="3"/>
  <c r="W75" i="3"/>
  <c r="W74" i="3"/>
  <c r="W73" i="3"/>
  <c r="W72" i="3"/>
  <c r="W71" i="3"/>
  <c r="W70" i="3"/>
  <c r="W69" i="3"/>
  <c r="W68" i="3"/>
  <c r="W67" i="3"/>
  <c r="W66" i="3"/>
  <c r="W65" i="3"/>
  <c r="W64" i="3"/>
  <c r="W63" i="3"/>
  <c r="W62" i="3"/>
  <c r="W61" i="3"/>
  <c r="W60" i="3"/>
  <c r="W59" i="3"/>
  <c r="W58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U246" i="3"/>
</calcChain>
</file>

<file path=xl/sharedStrings.xml><?xml version="1.0" encoding="utf-8"?>
<sst xmlns="http://schemas.openxmlformats.org/spreadsheetml/2006/main" count="1676" uniqueCount="536">
  <si>
    <t>name</t>
  </si>
  <si>
    <t>group</t>
  </si>
  <si>
    <t>size</t>
  </si>
  <si>
    <t>equity</t>
  </si>
  <si>
    <t>ni_12fw</t>
  </si>
  <si>
    <t>cash_div</t>
  </si>
  <si>
    <t>1/pbr</t>
  </si>
  <si>
    <t>1/per</t>
  </si>
  <si>
    <t>1/div_yield</t>
  </si>
  <si>
    <t>z_score</t>
  </si>
  <si>
    <t>KISCO홀딩스</t>
  </si>
  <si>
    <t>남양유업</t>
  </si>
  <si>
    <t>한화</t>
  </si>
  <si>
    <t>NAVER</t>
  </si>
  <si>
    <t>미래에셋생명</t>
  </si>
  <si>
    <t>광주은행</t>
  </si>
  <si>
    <t>JB금융지주</t>
  </si>
  <si>
    <t>동일방직</t>
  </si>
  <si>
    <t>세아제강</t>
  </si>
  <si>
    <t>화승알앤에이</t>
  </si>
  <si>
    <t>한국가스공사</t>
  </si>
  <si>
    <t>BNK금융지주</t>
  </si>
  <si>
    <t>경동나비엔</t>
  </si>
  <si>
    <t>한국전력</t>
  </si>
  <si>
    <t>기업은행</t>
  </si>
  <si>
    <t>DGB금융지주</t>
  </si>
  <si>
    <t>대림산업</t>
  </si>
  <si>
    <t>아세아시멘트</t>
  </si>
  <si>
    <t>하나금융지주</t>
  </si>
  <si>
    <t>영원무역홀딩스</t>
  </si>
  <si>
    <t>우리은행</t>
  </si>
  <si>
    <t>한화손해보험</t>
  </si>
  <si>
    <t>한일시멘트</t>
  </si>
  <si>
    <t>금호에이치티</t>
  </si>
  <si>
    <t>현대제철</t>
  </si>
  <si>
    <t>신세계</t>
  </si>
  <si>
    <t>대한제강</t>
  </si>
  <si>
    <t>삼천리</t>
  </si>
  <si>
    <t>한세예스24홀딩스</t>
  </si>
  <si>
    <t>한화케미칼</t>
  </si>
  <si>
    <t>화신</t>
  </si>
  <si>
    <t>다우기술</t>
  </si>
  <si>
    <t>AK홀딩스</t>
  </si>
  <si>
    <t>지역난방공사</t>
  </si>
  <si>
    <t>KB손해보험</t>
  </si>
  <si>
    <t>한국철강</t>
  </si>
  <si>
    <t>SK</t>
  </si>
  <si>
    <t>제주은행</t>
  </si>
  <si>
    <t>현대차</t>
  </si>
  <si>
    <t>송원산업</t>
  </si>
  <si>
    <t>아모레G</t>
  </si>
  <si>
    <t>롯데쇼핑</t>
  </si>
  <si>
    <t>한진</t>
  </si>
  <si>
    <t>대신증권</t>
  </si>
  <si>
    <t>풍산홀딩스</t>
  </si>
  <si>
    <t>한진칼</t>
  </si>
  <si>
    <t>광주신세계</t>
  </si>
  <si>
    <t>화성산업</t>
  </si>
  <si>
    <t>세방전지</t>
  </si>
  <si>
    <t>기아차</t>
  </si>
  <si>
    <t>현대상사</t>
  </si>
  <si>
    <t>KB금융</t>
  </si>
  <si>
    <t>현대백화점</t>
  </si>
  <si>
    <t>SK케미칼</t>
  </si>
  <si>
    <t>S&amp;TC</t>
  </si>
  <si>
    <t>롯데하이마트</t>
  </si>
  <si>
    <t>휠라코리아</t>
  </si>
  <si>
    <t>코리아써키트</t>
  </si>
  <si>
    <t>현대건설</t>
  </si>
  <si>
    <t>화승인더</t>
  </si>
  <si>
    <t>에스엘</t>
  </si>
  <si>
    <t>현대그린푸드</t>
  </si>
  <si>
    <t>동양생명</t>
  </si>
  <si>
    <t>LG전자</t>
  </si>
  <si>
    <t>조광페인트</t>
  </si>
  <si>
    <t>현대위아</t>
  </si>
  <si>
    <t>KC그린홀딩스</t>
  </si>
  <si>
    <t>유니드</t>
  </si>
  <si>
    <t>한국콜마</t>
  </si>
  <si>
    <t>아이에스동서</t>
  </si>
  <si>
    <t>이수화학</t>
  </si>
  <si>
    <t>태평양물산</t>
  </si>
  <si>
    <t>현대에이치씨엔</t>
  </si>
  <si>
    <t>일신방직</t>
  </si>
  <si>
    <t>새론오토모티브</t>
  </si>
  <si>
    <t>SK가스</t>
  </si>
  <si>
    <t>코오롱</t>
  </si>
  <si>
    <t>현대리바트</t>
  </si>
  <si>
    <t>영풍</t>
  </si>
  <si>
    <t>KB캐피탈</t>
  </si>
  <si>
    <t>세아베스틸</t>
  </si>
  <si>
    <t>한솔제지</t>
  </si>
  <si>
    <t>LG상사</t>
  </si>
  <si>
    <t>KPX케미칼</t>
  </si>
  <si>
    <t>두산</t>
  </si>
  <si>
    <t>동성코퍼레이션</t>
  </si>
  <si>
    <t>아주캐피탈</t>
  </si>
  <si>
    <t>한화생명</t>
  </si>
  <si>
    <t>대한유화</t>
  </si>
  <si>
    <t>GS</t>
  </si>
  <si>
    <t>POSCO</t>
  </si>
  <si>
    <t>CJ</t>
  </si>
  <si>
    <t>롯데케미칼</t>
  </si>
  <si>
    <t>코리안리</t>
  </si>
  <si>
    <t>CJ헬로비전</t>
  </si>
  <si>
    <t>신한지주</t>
  </si>
  <si>
    <t>보령제약</t>
  </si>
  <si>
    <t>코오롱인더</t>
  </si>
  <si>
    <t>삼화콘덴서</t>
  </si>
  <si>
    <t>현대증권</t>
  </si>
  <si>
    <t>동아쏘시오홀딩스</t>
  </si>
  <si>
    <t>이마트</t>
  </si>
  <si>
    <t>풍산</t>
  </si>
  <si>
    <t>대현</t>
  </si>
  <si>
    <t>넥센타이어</t>
  </si>
  <si>
    <t>삼양사</t>
  </si>
  <si>
    <t>두산중공업</t>
  </si>
  <si>
    <t>노루홀딩스</t>
  </si>
  <si>
    <t>LS</t>
  </si>
  <si>
    <t>방림</t>
  </si>
  <si>
    <t>동성화학</t>
  </si>
  <si>
    <t>현대EP</t>
  </si>
  <si>
    <t>삼양홀딩스</t>
  </si>
  <si>
    <t>영원무역</t>
  </si>
  <si>
    <t>애경유화</t>
  </si>
  <si>
    <t>삼영전자</t>
  </si>
  <si>
    <t>SIMPAC</t>
  </si>
  <si>
    <t>세진중공업</t>
  </si>
  <si>
    <t>국도화학</t>
  </si>
  <si>
    <t>SKC</t>
  </si>
  <si>
    <t>한라홀딩스</t>
  </si>
  <si>
    <t>LG이노텍</t>
  </si>
  <si>
    <t>삼양통상</t>
  </si>
  <si>
    <t>한국금융지주</t>
  </si>
  <si>
    <t>LF</t>
  </si>
  <si>
    <t>무림P&amp;P</t>
  </si>
  <si>
    <t>노루페인트</t>
  </si>
  <si>
    <t>현대모비스</t>
  </si>
  <si>
    <t>경방</t>
  </si>
  <si>
    <t>한국타이어</t>
  </si>
  <si>
    <t>S&amp;T모티브</t>
  </si>
  <si>
    <t>KT</t>
  </si>
  <si>
    <t>미래에셋증권</t>
  </si>
  <si>
    <t>한솔PNS</t>
  </si>
  <si>
    <t>한국타이어월드와이드</t>
  </si>
  <si>
    <t>신세계푸드</t>
  </si>
  <si>
    <t>이수페타시스</t>
  </si>
  <si>
    <t>삼성에스디에스</t>
  </si>
  <si>
    <t>메리츠화재</t>
  </si>
  <si>
    <t>메리츠종금증권</t>
  </si>
  <si>
    <t>백산</t>
  </si>
  <si>
    <t>삼성물산</t>
  </si>
  <si>
    <t>SK이노베이션</t>
  </si>
  <si>
    <t>롯데칠성</t>
  </si>
  <si>
    <t>미래에셋대우</t>
  </si>
  <si>
    <t>한익스프레스</t>
  </si>
  <si>
    <t>NH투자증권</t>
  </si>
  <si>
    <t>LG</t>
  </si>
  <si>
    <t>삼성SDI</t>
  </si>
  <si>
    <t>SPC삼립</t>
  </si>
  <si>
    <t>MH에탄올</t>
  </si>
  <si>
    <t>효성</t>
  </si>
  <si>
    <t>한화테크윈</t>
  </si>
  <si>
    <t>CJ제일제당</t>
  </si>
  <si>
    <t>롯데푸드</t>
  </si>
  <si>
    <t>한섬</t>
  </si>
  <si>
    <t>현대해상</t>
  </si>
  <si>
    <t>크라운제과</t>
  </si>
  <si>
    <t>SK네트웍스</t>
  </si>
  <si>
    <t>동원산업</t>
  </si>
  <si>
    <t>롯데정밀화학</t>
  </si>
  <si>
    <t>키움증권</t>
  </si>
  <si>
    <t>현대산업</t>
  </si>
  <si>
    <t>삼광글라스</t>
  </si>
  <si>
    <t>S-Oil</t>
  </si>
  <si>
    <t>현대홈쇼핑</t>
  </si>
  <si>
    <t>삼성생명</t>
  </si>
  <si>
    <t>광동제약</t>
  </si>
  <si>
    <t>아모레퍼시픽</t>
  </si>
  <si>
    <t>LG디스플레이</t>
  </si>
  <si>
    <t>케이씨텍</t>
  </si>
  <si>
    <t>삼성증권</t>
  </si>
  <si>
    <t>LG하우시스</t>
  </si>
  <si>
    <t>한국단자</t>
  </si>
  <si>
    <t>KSS해운</t>
  </si>
  <si>
    <t>F&amp;F</t>
  </si>
  <si>
    <t>KCC</t>
  </si>
  <si>
    <t>금호석유</t>
  </si>
  <si>
    <t>동원시스템즈</t>
  </si>
  <si>
    <t>롯데제과</t>
  </si>
  <si>
    <t>비상교육</t>
  </si>
  <si>
    <t>아이콘트롤스</t>
  </si>
  <si>
    <t>삼성전자</t>
  </si>
  <si>
    <t>동부화재</t>
  </si>
  <si>
    <t>삼성전기</t>
  </si>
  <si>
    <t>신세계인터내셔날</t>
  </si>
  <si>
    <t>엠케이트렌드</t>
  </si>
  <si>
    <t>CJ CGV</t>
  </si>
  <si>
    <t>대덕전자</t>
  </si>
  <si>
    <t>삼화페인트</t>
  </si>
  <si>
    <t>대상</t>
  </si>
  <si>
    <t>포스코대우</t>
  </si>
  <si>
    <t>농심</t>
  </si>
  <si>
    <t>LG유플러스</t>
  </si>
  <si>
    <t>SK디앤디</t>
  </si>
  <si>
    <t>SK하이닉스</t>
  </si>
  <si>
    <t>한세실업</t>
  </si>
  <si>
    <t>코오롱플라스틱</t>
  </si>
  <si>
    <t>LG화학</t>
  </si>
  <si>
    <t>벽산</t>
  </si>
  <si>
    <t>LS산전</t>
  </si>
  <si>
    <t>아이마켓코리아</t>
  </si>
  <si>
    <t>씨에스윈드</t>
  </si>
  <si>
    <t>스카이라이프</t>
  </si>
  <si>
    <t>동원F&amp;B</t>
  </si>
  <si>
    <t>환인제약</t>
  </si>
  <si>
    <t>삼성화재</t>
  </si>
  <si>
    <t>삼성카드</t>
  </si>
  <si>
    <t>한미약품</t>
  </si>
  <si>
    <t>무학</t>
  </si>
  <si>
    <t>한전기술</t>
  </si>
  <si>
    <t>자화전자</t>
  </si>
  <si>
    <t>락앤락</t>
  </si>
  <si>
    <t>유나이티드제약</t>
  </si>
  <si>
    <t>에이블씨엔씨</t>
  </si>
  <si>
    <t>대원제약</t>
  </si>
  <si>
    <t>한샘</t>
  </si>
  <si>
    <t>유한양행</t>
  </si>
  <si>
    <t>만도</t>
  </si>
  <si>
    <t>호텔신라</t>
  </si>
  <si>
    <t>한미반도체</t>
  </si>
  <si>
    <t>LG생활건강</t>
  </si>
  <si>
    <t>일진홀딩스</t>
  </si>
  <si>
    <t>대웅</t>
  </si>
  <si>
    <t>종근당</t>
  </si>
  <si>
    <t>한국항공우주</t>
  </si>
  <si>
    <t>SK텔레콤</t>
  </si>
  <si>
    <t>오뚜기</t>
  </si>
  <si>
    <t>한솔케미칼</t>
  </si>
  <si>
    <t>동아에스티</t>
  </si>
  <si>
    <t>현대글로비스</t>
  </si>
  <si>
    <t>고려아연</t>
  </si>
  <si>
    <t>코스맥스</t>
  </si>
  <si>
    <t>빙그레</t>
  </si>
  <si>
    <t>오리온</t>
  </si>
  <si>
    <t>대웅제약</t>
  </si>
  <si>
    <t>제주항공</t>
  </si>
  <si>
    <t>대교</t>
  </si>
  <si>
    <t>이노션</t>
  </si>
  <si>
    <t>한화갤러리아타임월드</t>
  </si>
  <si>
    <t>한미사이언스</t>
  </si>
  <si>
    <t>BGF리테일</t>
  </si>
  <si>
    <t>토니모리</t>
  </si>
  <si>
    <t>쿠쿠전자</t>
  </si>
  <si>
    <t>LIG넥스원</t>
  </si>
  <si>
    <t>휴켐스</t>
  </si>
  <si>
    <t>삼진제약</t>
  </si>
  <si>
    <t>엔씨소프트</t>
  </si>
  <si>
    <t>녹십자</t>
  </si>
  <si>
    <t>종근당홀딩스</t>
  </si>
  <si>
    <t>제일기획</t>
  </si>
  <si>
    <t>하이트진로</t>
  </si>
  <si>
    <t>GS리테일</t>
  </si>
  <si>
    <t>더존비즈온</t>
  </si>
  <si>
    <t>에스원</t>
  </si>
  <si>
    <t>KT&amp;G</t>
  </si>
  <si>
    <t>강원랜드</t>
  </si>
  <si>
    <t>GKL</t>
  </si>
  <si>
    <t>녹십자홀딩스</t>
  </si>
  <si>
    <t>한전KPS</t>
  </si>
  <si>
    <t>한온시스템</t>
  </si>
  <si>
    <t>하나투어</t>
  </si>
  <si>
    <t>코웨이</t>
  </si>
  <si>
    <t>삼성전자</t>
    <phoneticPr fontId="1" type="noConversion"/>
  </si>
  <si>
    <t>현대차</t>
    <phoneticPr fontId="1" type="noConversion"/>
  </si>
  <si>
    <t>신한지주</t>
    <phoneticPr fontId="1" type="noConversion"/>
  </si>
  <si>
    <t>현대모비스</t>
    <phoneticPr fontId="1" type="noConversion"/>
  </si>
  <si>
    <t>KB금융</t>
    <phoneticPr fontId="1" type="noConversion"/>
  </si>
  <si>
    <t>POSCO</t>
    <phoneticPr fontId="1" type="noConversion"/>
  </si>
  <si>
    <t>LG화학</t>
    <phoneticPr fontId="1" type="noConversion"/>
  </si>
  <si>
    <t>KT&amp;G</t>
    <phoneticPr fontId="1" type="noConversion"/>
  </si>
  <si>
    <t>한국전력</t>
    <phoneticPr fontId="1" type="noConversion"/>
  </si>
  <si>
    <t>기아차</t>
    <phoneticPr fontId="1" type="noConversion"/>
  </si>
  <si>
    <t>SK이노베이션</t>
    <phoneticPr fontId="1" type="noConversion"/>
  </si>
  <si>
    <t>하나금융지주</t>
    <phoneticPr fontId="1" type="noConversion"/>
  </si>
  <si>
    <t>삼성전자우</t>
    <phoneticPr fontId="1" type="noConversion"/>
  </si>
  <si>
    <t>삼성생명</t>
    <phoneticPr fontId="1" type="noConversion"/>
  </si>
  <si>
    <t>LG디스플레이</t>
    <phoneticPr fontId="1" type="noConversion"/>
  </si>
  <si>
    <t>LG</t>
    <phoneticPr fontId="1" type="noConversion"/>
  </si>
  <si>
    <t>SK</t>
    <phoneticPr fontId="1" type="noConversion"/>
  </si>
  <si>
    <t>롯데케미칼</t>
    <phoneticPr fontId="1" type="noConversion"/>
  </si>
  <si>
    <t>현대제철</t>
    <phoneticPr fontId="1" type="noConversion"/>
  </si>
  <si>
    <t>SK텔레콤</t>
    <phoneticPr fontId="1" type="noConversion"/>
  </si>
  <si>
    <t>고려아연</t>
    <phoneticPr fontId="1" type="noConversion"/>
  </si>
  <si>
    <t>현대중공업</t>
    <phoneticPr fontId="1" type="noConversion"/>
  </si>
  <si>
    <t>우리은행</t>
    <phoneticPr fontId="1" type="noConversion"/>
  </si>
  <si>
    <t>S-Oil</t>
    <phoneticPr fontId="1" type="noConversion"/>
  </si>
  <si>
    <t>현대차2우B</t>
    <phoneticPr fontId="1" type="noConversion"/>
  </si>
  <si>
    <t>이마트</t>
    <phoneticPr fontId="1" type="noConversion"/>
  </si>
  <si>
    <t>기업은행</t>
    <phoneticPr fontId="1" type="noConversion"/>
  </si>
  <si>
    <t>동부화재</t>
    <phoneticPr fontId="1" type="noConversion"/>
  </si>
  <si>
    <t>GS</t>
    <phoneticPr fontId="1" type="noConversion"/>
  </si>
  <si>
    <t>미래에셋대우</t>
    <phoneticPr fontId="1" type="noConversion"/>
  </si>
  <si>
    <t>대림산업</t>
    <phoneticPr fontId="1" type="noConversion"/>
  </si>
  <si>
    <t>BNK금융지주</t>
    <phoneticPr fontId="1" type="noConversion"/>
  </si>
  <si>
    <t>현대차우</t>
    <phoneticPr fontId="1" type="noConversion"/>
  </si>
  <si>
    <t>한국타이어</t>
    <phoneticPr fontId="1" type="noConversion"/>
  </si>
  <si>
    <t>KCC</t>
    <phoneticPr fontId="1" type="noConversion"/>
  </si>
  <si>
    <t>효성</t>
    <phoneticPr fontId="1" type="noConversion"/>
  </si>
  <si>
    <t>삼성증권</t>
    <phoneticPr fontId="1" type="noConversion"/>
  </si>
  <si>
    <t>DGB금융지주</t>
    <phoneticPr fontId="1" type="noConversion"/>
  </si>
  <si>
    <t>한국금융지주</t>
    <phoneticPr fontId="1" type="noConversion"/>
  </si>
  <si>
    <t>한화</t>
    <phoneticPr fontId="1" type="noConversion"/>
  </si>
  <si>
    <t>한화생명</t>
    <phoneticPr fontId="1" type="noConversion"/>
  </si>
  <si>
    <t>LG화학우</t>
    <phoneticPr fontId="1" type="noConversion"/>
  </si>
  <si>
    <t>삼성카드</t>
    <phoneticPr fontId="1" type="noConversion"/>
  </si>
  <si>
    <t>NH투자증권</t>
    <phoneticPr fontId="1" type="noConversion"/>
  </si>
  <si>
    <t>한국가스공사</t>
    <phoneticPr fontId="1" type="noConversion"/>
  </si>
  <si>
    <t>GS건설</t>
    <phoneticPr fontId="1" type="noConversion"/>
  </si>
  <si>
    <t>OCI</t>
    <phoneticPr fontId="1" type="noConversion"/>
  </si>
  <si>
    <t>신세계</t>
    <phoneticPr fontId="1" type="noConversion"/>
  </si>
  <si>
    <t>두산중공업</t>
    <phoneticPr fontId="1" type="noConversion"/>
  </si>
  <si>
    <t>포스코대우</t>
    <phoneticPr fontId="1" type="noConversion"/>
  </si>
  <si>
    <t>현대위아</t>
    <phoneticPr fontId="1" type="noConversion"/>
  </si>
  <si>
    <t>KT</t>
    <phoneticPr fontId="1" type="noConversion"/>
  </si>
  <si>
    <t>SK네트웍스</t>
    <phoneticPr fontId="1" type="noConversion"/>
  </si>
  <si>
    <t>롯데쇼핑</t>
    <phoneticPr fontId="1" type="noConversion"/>
  </si>
  <si>
    <t>현대백화점</t>
    <phoneticPr fontId="1" type="noConversion"/>
  </si>
  <si>
    <t>한화테크윈</t>
    <phoneticPr fontId="1" type="noConversion"/>
  </si>
  <si>
    <t>삼성중공업</t>
    <phoneticPr fontId="1" type="noConversion"/>
  </si>
  <si>
    <t>금호석유</t>
    <phoneticPr fontId="1" type="noConversion"/>
  </si>
  <si>
    <t>현대해상</t>
    <phoneticPr fontId="1" type="noConversion"/>
  </si>
  <si>
    <t>롯데칠성</t>
    <phoneticPr fontId="1" type="noConversion"/>
  </si>
  <si>
    <t>동서</t>
    <phoneticPr fontId="1" type="noConversion"/>
  </si>
  <si>
    <t>롯데제과</t>
    <phoneticPr fontId="1" type="noConversion"/>
  </si>
  <si>
    <t xml:space="preserve"> </t>
    <phoneticPr fontId="1" type="noConversion"/>
  </si>
  <si>
    <t>market_weight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</si>
  <si>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</si>
  <si>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</si>
  <si>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</si>
  <si>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Z_score&gt;0</t>
    <phoneticPr fontId="1" type="noConversion"/>
  </si>
  <si>
    <t>Z_score 상위30%</t>
    <phoneticPr fontId="1" type="noConversion"/>
  </si>
  <si>
    <t>동화약품</t>
  </si>
  <si>
    <t>성창기업지주</t>
  </si>
  <si>
    <t>유유제약</t>
  </si>
  <si>
    <t>대원강업</t>
  </si>
  <si>
    <t>대동공업</t>
  </si>
  <si>
    <t>가온전선</t>
  </si>
  <si>
    <t>삼일제약</t>
  </si>
  <si>
    <t>천일고속</t>
  </si>
  <si>
    <t>유수홀딩스</t>
  </si>
  <si>
    <t>화천기공</t>
  </si>
  <si>
    <t>강남제비스코</t>
  </si>
  <si>
    <t>유니온</t>
  </si>
  <si>
    <t>한국주철관</t>
  </si>
  <si>
    <t>만호제강</t>
  </si>
  <si>
    <t>대한제분</t>
  </si>
  <si>
    <t>국보</t>
  </si>
  <si>
    <t>부국증권</t>
  </si>
  <si>
    <t>KG케미칼</t>
  </si>
  <si>
    <t>태원물산</t>
  </si>
  <si>
    <t>BYC</t>
  </si>
  <si>
    <t>HMC투자증권</t>
  </si>
  <si>
    <t>제일연마</t>
  </si>
  <si>
    <t>금양</t>
  </si>
  <si>
    <t>한양증권</t>
  </si>
  <si>
    <t>신화실업</t>
  </si>
  <si>
    <t>대한제당</t>
  </si>
  <si>
    <t>한국유리</t>
  </si>
  <si>
    <t>아세아</t>
  </si>
  <si>
    <t>남영비비안</t>
  </si>
  <si>
    <t>경농</t>
  </si>
  <si>
    <t>고려산업</t>
  </si>
  <si>
    <t>도화엔지니어링</t>
  </si>
  <si>
    <t>수출포장</t>
  </si>
  <si>
    <t>한국제지</t>
  </si>
  <si>
    <t>SH에너지화학</t>
  </si>
  <si>
    <t>삼익악기</t>
  </si>
  <si>
    <t>조흥</t>
  </si>
  <si>
    <t>동일제강</t>
  </si>
  <si>
    <t>보락</t>
  </si>
  <si>
    <t>선창산업</t>
  </si>
  <si>
    <t>대유에이텍</t>
  </si>
  <si>
    <t>동양물산</t>
  </si>
  <si>
    <t>유성기업</t>
  </si>
  <si>
    <t>혜인</t>
  </si>
  <si>
    <t>성보화학</t>
  </si>
  <si>
    <t>일성신약</t>
  </si>
  <si>
    <t>디아이</t>
  </si>
  <si>
    <t>삼양식품</t>
  </si>
  <si>
    <t>흥아해운</t>
  </si>
  <si>
    <t>유화증권</t>
  </si>
  <si>
    <t>미창석유</t>
  </si>
  <si>
    <t>진양산업</t>
  </si>
  <si>
    <t>신흥</t>
  </si>
  <si>
    <t>한국석유</t>
  </si>
  <si>
    <t>태양금속</t>
  </si>
  <si>
    <t>대덕GDS</t>
  </si>
  <si>
    <t>동방</t>
  </si>
  <si>
    <t>NPC</t>
  </si>
  <si>
    <t>남성</t>
  </si>
  <si>
    <t>현대약품</t>
  </si>
  <si>
    <t>세방</t>
  </si>
  <si>
    <t>삼익THK</t>
  </si>
  <si>
    <t>삼화왕관</t>
  </si>
  <si>
    <t>덕성</t>
  </si>
  <si>
    <t>DRB동일</t>
  </si>
  <si>
    <t>동일산업</t>
  </si>
  <si>
    <t>신라교역</t>
  </si>
  <si>
    <t>휴스틸</t>
  </si>
  <si>
    <t>한창</t>
  </si>
  <si>
    <t>모나미</t>
  </si>
  <si>
    <t>한국공항</t>
  </si>
  <si>
    <t>대림B&amp;Co</t>
  </si>
  <si>
    <t>신영와코루</t>
  </si>
  <si>
    <t>원림</t>
  </si>
  <si>
    <t>삼아알미늄</t>
  </si>
  <si>
    <t>대구백화점</t>
  </si>
  <si>
    <t>대림통상</t>
  </si>
  <si>
    <t>삼성공조</t>
  </si>
  <si>
    <t>영풍제지</t>
  </si>
  <si>
    <t>신송홀딩스</t>
  </si>
  <si>
    <t>태경화학</t>
  </si>
  <si>
    <t>우성사료</t>
  </si>
  <si>
    <t>샘표</t>
  </si>
  <si>
    <t>동방아그로</t>
  </si>
  <si>
    <t>선도전기</t>
  </si>
  <si>
    <t>서연</t>
  </si>
  <si>
    <t>이건산업</t>
  </si>
  <si>
    <t>NI스틸</t>
  </si>
  <si>
    <t>문배철강</t>
  </si>
  <si>
    <t>일정실업</t>
  </si>
  <si>
    <t>윌비스</t>
  </si>
  <si>
    <t>율촌화학</t>
  </si>
  <si>
    <t>금비</t>
  </si>
  <si>
    <t>KCTC</t>
  </si>
  <si>
    <t>경인전자</t>
  </si>
  <si>
    <t>한솔로지스틱스</t>
  </si>
  <si>
    <t>삼화전기</t>
  </si>
  <si>
    <t>삼정펄프</t>
  </si>
  <si>
    <t>한국내화</t>
  </si>
  <si>
    <t>화천기계</t>
  </si>
  <si>
    <t>평화홀딩스</t>
  </si>
  <si>
    <t>삼호개발</t>
  </si>
  <si>
    <t>에넥스</t>
  </si>
  <si>
    <t>태림포장</t>
  </si>
  <si>
    <t>성안</t>
  </si>
  <si>
    <t>부산산업</t>
  </si>
  <si>
    <t>한농화성</t>
  </si>
  <si>
    <t>한신기계</t>
  </si>
  <si>
    <t>영흥철강</t>
  </si>
  <si>
    <t>계양전기</t>
  </si>
  <si>
    <t>영화금속</t>
  </si>
  <si>
    <t>경동가스</t>
  </si>
  <si>
    <t>경인양행</t>
  </si>
  <si>
    <t>모나리자</t>
  </si>
  <si>
    <t>일성건설</t>
  </si>
  <si>
    <t>디와이</t>
  </si>
  <si>
    <t>까뮤이앤씨</t>
  </si>
  <si>
    <t>지엠비코리아</t>
  </si>
  <si>
    <t>금강공업</t>
  </si>
  <si>
    <t>영보화학</t>
  </si>
  <si>
    <t>극동유화</t>
  </si>
  <si>
    <t>백광소재</t>
  </si>
  <si>
    <t>대창단조</t>
  </si>
  <si>
    <t>예스코</t>
  </si>
  <si>
    <t>태경산업</t>
  </si>
  <si>
    <t>대성홀딩스</t>
  </si>
  <si>
    <t>명문제약</t>
  </si>
  <si>
    <t>우신시스템</t>
  </si>
  <si>
    <t>한국카본</t>
  </si>
  <si>
    <t>조일알미늄</t>
  </si>
  <si>
    <t>동원금속</t>
  </si>
  <si>
    <t>티에이치엔</t>
  </si>
  <si>
    <t>세아특수강</t>
  </si>
  <si>
    <t>다우인큐브</t>
  </si>
  <si>
    <t>세원정공</t>
  </si>
  <si>
    <t>삼원강재</t>
  </si>
  <si>
    <t>한국종합기술</t>
  </si>
  <si>
    <t>동남합성</t>
  </si>
  <si>
    <t>인지컨트롤스</t>
  </si>
  <si>
    <t>인팩</t>
  </si>
  <si>
    <t>WISCOM</t>
  </si>
  <si>
    <t>디씨엠</t>
  </si>
  <si>
    <t>덕양산업</t>
  </si>
  <si>
    <t>SJM홀딩스</t>
  </si>
  <si>
    <t>디피씨</t>
  </si>
  <si>
    <t>부국철강</t>
  </si>
  <si>
    <t>동아지질</t>
  </si>
  <si>
    <t>교보증권</t>
  </si>
  <si>
    <t>황금에스티</t>
  </si>
  <si>
    <t>세종공업</t>
  </si>
  <si>
    <t>신세계건설</t>
  </si>
  <si>
    <t>인천도시가스</t>
  </si>
  <si>
    <t>지투알</t>
  </si>
  <si>
    <t>신세계 I&amp;C</t>
  </si>
  <si>
    <t>상신브레이크</t>
  </si>
  <si>
    <t>쌍용머티리얼</t>
  </si>
  <si>
    <t>진양화학</t>
  </si>
  <si>
    <t>한미글로벌</t>
  </si>
  <si>
    <t>포스코강판</t>
  </si>
  <si>
    <t>동아에스텍</t>
  </si>
  <si>
    <t>KTcs</t>
  </si>
  <si>
    <t>케이티스</t>
  </si>
  <si>
    <t>종근당바이오</t>
  </si>
  <si>
    <t>세이브존I&amp;C</t>
  </si>
  <si>
    <t>삼성출판사</t>
  </si>
  <si>
    <t>DSR제강</t>
  </si>
  <si>
    <t>유엔젤</t>
  </si>
  <si>
    <t>유니퀘스트</t>
  </si>
  <si>
    <t>텔코웨어</t>
  </si>
  <si>
    <t>휴비스</t>
  </si>
  <si>
    <t>일진다이아</t>
  </si>
  <si>
    <t>KPX그린케미칼</t>
  </si>
  <si>
    <t>동양고속</t>
  </si>
  <si>
    <t>진도</t>
  </si>
  <si>
    <t>평화산업</t>
  </si>
  <si>
    <t>KPX홀딩스</t>
  </si>
  <si>
    <t>기신정기</t>
  </si>
  <si>
    <t>효성ITX</t>
  </si>
  <si>
    <t>진양홀딩스</t>
  </si>
  <si>
    <t>일진전기</t>
  </si>
  <si>
    <t>우진</t>
  </si>
  <si>
    <t>미원에스씨</t>
  </si>
  <si>
    <t>대성에너지</t>
  </si>
  <si>
    <t>SJM</t>
  </si>
  <si>
    <t>인터지스</t>
  </si>
  <si>
    <t>한전산업</t>
  </si>
  <si>
    <t>미원화학</t>
  </si>
  <si>
    <t>선진</t>
  </si>
  <si>
    <t>DSR</t>
  </si>
  <si>
    <t>동일고무벨트</t>
  </si>
  <si>
    <t>디와이파워</t>
  </si>
  <si>
    <t>현대씨앤에프</t>
  </si>
  <si>
    <t>시가총액비중</t>
    <phoneticPr fontId="1" type="noConversion"/>
  </si>
  <si>
    <t>동일가중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</si>
</sst>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264"/>
  <sheetViews>
    <sheetView topLeftCell="A240" workbookViewId="0">
      <selection activeCell="B2" sqref="B2:B264"/>
    </sheetView>
  </sheetViews>
  <sheetFormatPr defaultRowHeight="17.399999999999999" x14ac:dyDescent="0.4"/>
  <sheetData>
    <row r="1" spans="1:37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N1" t="s">
        <v>0</v>
      </c>
      <c r="O1" t="s">
        <v>1</v>
      </c>
      <c r="P1" t="s">
        <v>2</v>
      </c>
      <c r="Q1" t="s">
        <v>3</v>
      </c>
      <c r="R1" t="s">
        <v>4</v>
      </c>
      <c r="S1" t="s">
        <v>5</v>
      </c>
      <c r="T1" t="s">
        <v>6</v>
      </c>
      <c r="U1" t="s">
        <v>7</v>
      </c>
      <c r="V1" t="s">
        <v>8</v>
      </c>
      <c r="W1" t="s">
        <v>9</v>
      </c>
      <c r="Z1" t="s">
        <v>0</v>
      </c>
      <c r="AA1" t="s">
        <v>1</v>
      </c>
      <c r="AB1" t="s">
        <v>2</v>
      </c>
      <c r="AC1" t="s">
        <v>3</v>
      </c>
      <c r="AD1" t="s">
        <v>4</v>
      </c>
      <c r="AE1" t="s">
        <v>5</v>
      </c>
      <c r="AF1" t="s">
        <v>6</v>
      </c>
      <c r="AG1" t="s">
        <v>7</v>
      </c>
      <c r="AH1" t="s">
        <v>8</v>
      </c>
      <c r="AI1" t="s">
        <v>9</v>
      </c>
    </row>
    <row r="2" spans="1:37" x14ac:dyDescent="0.4">
      <c r="A2">
        <v>141</v>
      </c>
      <c r="B2" t="s">
        <v>10</v>
      </c>
      <c r="C2">
        <v>3</v>
      </c>
      <c r="D2">
        <v>232802388000</v>
      </c>
      <c r="E2">
        <v>735074406</v>
      </c>
      <c r="F2">
        <v>106750000</v>
      </c>
      <c r="G2">
        <v>2753230</v>
      </c>
      <c r="H2">
        <v>3.1575037194206102E-3</v>
      </c>
      <c r="I2">
        <v>4.5854340635028101E-4</v>
      </c>
      <c r="J2">
        <v>84556.098836639096</v>
      </c>
      <c r="K2">
        <v>8.4357419129213902</v>
      </c>
      <c r="M2">
        <v>62</v>
      </c>
      <c r="N2" t="s">
        <v>12</v>
      </c>
      <c r="O2">
        <v>1</v>
      </c>
      <c r="P2">
        <v>2637249012250</v>
      </c>
      <c r="Q2">
        <v>4709039000</v>
      </c>
      <c r="R2">
        <v>1180720499.78</v>
      </c>
      <c r="S2">
        <v>34539368</v>
      </c>
      <c r="T2">
        <v>1.78558754904317E-3</v>
      </c>
      <c r="U2">
        <v>4.4770914475484198E-4</v>
      </c>
      <c r="V2">
        <v>76354.871700315998</v>
      </c>
      <c r="W2">
        <v>6.7302276319564598</v>
      </c>
      <c r="Y2">
        <v>62</v>
      </c>
      <c r="Z2" s="2" t="s">
        <v>12</v>
      </c>
      <c r="AA2">
        <v>1</v>
      </c>
      <c r="AB2">
        <v>2637249012250</v>
      </c>
      <c r="AC2">
        <v>4709039000</v>
      </c>
      <c r="AD2">
        <v>1180720499.78</v>
      </c>
      <c r="AE2">
        <v>34539368</v>
      </c>
      <c r="AF2">
        <v>1.78558754904317E-3</v>
      </c>
      <c r="AG2">
        <v>4.4770914475484198E-4</v>
      </c>
      <c r="AH2">
        <v>76354.871700315998</v>
      </c>
      <c r="AI2">
        <v>6.3684847479749598</v>
      </c>
      <c r="AK2" t="s">
        <v>273</v>
      </c>
    </row>
    <row r="3" spans="1:37" x14ac:dyDescent="0.4">
      <c r="A3">
        <v>266</v>
      </c>
      <c r="B3" t="s">
        <v>11</v>
      </c>
      <c r="C3">
        <v>2</v>
      </c>
      <c r="D3">
        <v>535495563000</v>
      </c>
      <c r="E3">
        <v>864638710</v>
      </c>
      <c r="F3">
        <v>33244129.5</v>
      </c>
      <c r="G3">
        <v>679712</v>
      </c>
      <c r="H3">
        <v>1.61465149245316E-3</v>
      </c>
      <c r="I3" s="1">
        <v>6.2081055002130797E-5</v>
      </c>
      <c r="J3">
        <v>787827.14296643203</v>
      </c>
      <c r="K3">
        <v>6.2391848942358497</v>
      </c>
      <c r="M3">
        <v>266</v>
      </c>
      <c r="N3" t="s">
        <v>11</v>
      </c>
      <c r="O3">
        <v>2</v>
      </c>
      <c r="P3">
        <v>535495563000</v>
      </c>
      <c r="Q3">
        <v>864638710</v>
      </c>
      <c r="R3">
        <v>33244129.5</v>
      </c>
      <c r="S3">
        <v>679712</v>
      </c>
      <c r="T3">
        <v>1.61465149245316E-3</v>
      </c>
      <c r="U3" s="1">
        <v>6.2081055002130797E-5</v>
      </c>
      <c r="V3">
        <v>787827.14296643203</v>
      </c>
      <c r="W3">
        <v>5.8619068799978997</v>
      </c>
      <c r="Y3">
        <v>923</v>
      </c>
      <c r="Z3" t="s">
        <v>13</v>
      </c>
      <c r="AA3">
        <v>1</v>
      </c>
      <c r="AB3">
        <v>29106045557000</v>
      </c>
      <c r="AC3">
        <v>2435612268</v>
      </c>
      <c r="AD3">
        <v>984906966.16999996</v>
      </c>
      <c r="AE3">
        <v>32130690</v>
      </c>
      <c r="AF3" s="1">
        <v>8.3680631339293505E-5</v>
      </c>
      <c r="AG3" s="1">
        <v>3.38385702118551E-5</v>
      </c>
      <c r="AH3">
        <v>905864.31716841401</v>
      </c>
      <c r="AI3">
        <v>4.1802379841830799</v>
      </c>
      <c r="AK3" t="s">
        <v>274</v>
      </c>
    </row>
    <row r="4" spans="1:37" x14ac:dyDescent="0.4">
      <c r="A4">
        <v>62</v>
      </c>
      <c r="B4" t="s">
        <v>12</v>
      </c>
      <c r="C4">
        <v>1</v>
      </c>
      <c r="D4">
        <v>2637249012250</v>
      </c>
      <c r="E4">
        <v>4709039000</v>
      </c>
      <c r="F4">
        <v>1180720499.78</v>
      </c>
      <c r="G4">
        <v>34539368</v>
      </c>
      <c r="H4">
        <v>1.78558754904317E-3</v>
      </c>
      <c r="I4">
        <v>4.4770914475484198E-4</v>
      </c>
      <c r="J4">
        <v>76354.871700315998</v>
      </c>
      <c r="K4">
        <v>6.1625250064288597</v>
      </c>
      <c r="M4">
        <v>1025</v>
      </c>
      <c r="N4" t="s">
        <v>14</v>
      </c>
      <c r="O4">
        <v>2</v>
      </c>
      <c r="P4">
        <v>624999900000</v>
      </c>
      <c r="Q4">
        <v>2145951977.8199999</v>
      </c>
      <c r="R4">
        <v>118883333.33</v>
      </c>
      <c r="S4">
        <v>7891400</v>
      </c>
      <c r="T4">
        <v>3.43352371387579E-3</v>
      </c>
      <c r="U4">
        <v>1.9021336376213801E-4</v>
      </c>
      <c r="V4">
        <v>79200.129254631596</v>
      </c>
      <c r="W4">
        <v>4.78758155832878</v>
      </c>
      <c r="Y4">
        <v>1106</v>
      </c>
      <c r="Z4" s="2" t="s">
        <v>21</v>
      </c>
      <c r="AA4">
        <v>1</v>
      </c>
      <c r="AB4">
        <v>2796524410680</v>
      </c>
      <c r="AC4">
        <v>6640646622.46</v>
      </c>
      <c r="AD4">
        <v>576589914.46000004</v>
      </c>
      <c r="AE4">
        <v>38388059</v>
      </c>
      <c r="AF4">
        <v>2.37460706479056E-3</v>
      </c>
      <c r="AG4">
        <v>2.06180898066896E-4</v>
      </c>
      <c r="AH4">
        <v>72848.809852042701</v>
      </c>
      <c r="AI4">
        <v>3.35761954108118</v>
      </c>
      <c r="AK4" t="s">
        <v>275</v>
      </c>
    </row>
    <row r="5" spans="1:37" x14ac:dyDescent="0.4">
      <c r="A5">
        <v>923</v>
      </c>
      <c r="B5" t="s">
        <v>13</v>
      </c>
      <c r="C5">
        <v>1</v>
      </c>
      <c r="D5">
        <v>29106045557000</v>
      </c>
      <c r="E5">
        <v>2435612268</v>
      </c>
      <c r="F5">
        <v>984906966.16999996</v>
      </c>
      <c r="G5">
        <v>32130690</v>
      </c>
      <c r="H5" s="1">
        <v>8.3680631339293505E-5</v>
      </c>
      <c r="I5" s="1">
        <v>3.38385702118551E-5</v>
      </c>
      <c r="J5">
        <v>905864.31716841401</v>
      </c>
      <c r="K5">
        <v>4.6126412124039904</v>
      </c>
      <c r="M5">
        <v>1127</v>
      </c>
      <c r="N5" t="s">
        <v>15</v>
      </c>
      <c r="O5">
        <v>2</v>
      </c>
      <c r="P5">
        <v>483910417510</v>
      </c>
      <c r="Q5">
        <v>1436932702.25</v>
      </c>
      <c r="R5">
        <v>111993685.56</v>
      </c>
      <c r="S5">
        <v>10258339</v>
      </c>
      <c r="T5">
        <v>2.9694188226900599E-3</v>
      </c>
      <c r="U5">
        <v>2.3143474805992499E-4</v>
      </c>
      <c r="V5">
        <v>47172.394820447997</v>
      </c>
      <c r="W5">
        <v>4.5283019293018203</v>
      </c>
      <c r="Y5">
        <v>925</v>
      </c>
      <c r="Z5" s="2" t="s">
        <v>20</v>
      </c>
      <c r="AA5">
        <v>1</v>
      </c>
      <c r="AB5">
        <v>4080234600000</v>
      </c>
      <c r="AC5">
        <v>10422023516</v>
      </c>
      <c r="AD5">
        <v>317033928.56999999</v>
      </c>
      <c r="AE5">
        <v>14898331</v>
      </c>
      <c r="AF5">
        <v>2.55427065786854E-3</v>
      </c>
      <c r="AG5" s="1">
        <v>7.7699926511578494E-5</v>
      </c>
      <c r="AH5">
        <v>273871.92565395398</v>
      </c>
      <c r="AI5">
        <v>3.2423803251727001</v>
      </c>
      <c r="AK5" t="s">
        <v>276</v>
      </c>
    </row>
    <row r="6" spans="1:37" x14ac:dyDescent="0.4">
      <c r="A6">
        <v>1025</v>
      </c>
      <c r="B6" t="s">
        <v>14</v>
      </c>
      <c r="C6">
        <v>2</v>
      </c>
      <c r="D6">
        <v>624999900000</v>
      </c>
      <c r="E6">
        <v>2145951977.8199999</v>
      </c>
      <c r="F6">
        <v>118883333.33</v>
      </c>
      <c r="G6">
        <v>7891400</v>
      </c>
      <c r="H6">
        <v>3.43352371387579E-3</v>
      </c>
      <c r="I6">
        <v>1.9021336376213801E-4</v>
      </c>
      <c r="J6">
        <v>79200.129254631596</v>
      </c>
      <c r="K6">
        <v>4.4652054088012196</v>
      </c>
      <c r="M6">
        <v>1120</v>
      </c>
      <c r="N6" t="s">
        <v>16</v>
      </c>
      <c r="O6">
        <v>2</v>
      </c>
      <c r="P6">
        <v>921755778390</v>
      </c>
      <c r="Q6">
        <v>2222723000</v>
      </c>
      <c r="R6">
        <v>216803937.63</v>
      </c>
      <c r="S6">
        <v>7771971</v>
      </c>
      <c r="T6">
        <v>2.4114012107223802E-3</v>
      </c>
      <c r="U6">
        <v>2.35207570934552E-4</v>
      </c>
      <c r="V6">
        <v>118600.002288994</v>
      </c>
      <c r="W6">
        <v>4.3605620520221198</v>
      </c>
      <c r="Y6">
        <v>729</v>
      </c>
      <c r="Z6" s="2" t="s">
        <v>23</v>
      </c>
      <c r="AA6">
        <v>1</v>
      </c>
      <c r="AB6">
        <v>34666060158000</v>
      </c>
      <c r="AC6">
        <v>68337547000</v>
      </c>
      <c r="AD6">
        <v>9003881666.6700001</v>
      </c>
      <c r="AE6">
        <v>1990088639</v>
      </c>
      <c r="AF6">
        <v>1.9713098831691E-3</v>
      </c>
      <c r="AG6">
        <v>2.5973189989379698E-4</v>
      </c>
      <c r="AH6">
        <v>17419.354836083701</v>
      </c>
      <c r="AI6">
        <v>3.1618545223510299</v>
      </c>
      <c r="AK6" t="s">
        <v>277</v>
      </c>
    </row>
    <row r="7" spans="1:37" x14ac:dyDescent="0.4">
      <c r="A7">
        <v>1127</v>
      </c>
      <c r="B7" t="s">
        <v>15</v>
      </c>
      <c r="C7">
        <v>2</v>
      </c>
      <c r="D7">
        <v>483910417510</v>
      </c>
      <c r="E7">
        <v>1436932702.25</v>
      </c>
      <c r="F7">
        <v>111993685.56</v>
      </c>
      <c r="G7">
        <v>10258339</v>
      </c>
      <c r="H7">
        <v>2.9694188226900599E-3</v>
      </c>
      <c r="I7">
        <v>2.3143474805992499E-4</v>
      </c>
      <c r="J7">
        <v>47172.394820447997</v>
      </c>
      <c r="K7">
        <v>4.1509591362551896</v>
      </c>
      <c r="M7">
        <v>923</v>
      </c>
      <c r="N7" t="s">
        <v>13</v>
      </c>
      <c r="O7">
        <v>1</v>
      </c>
      <c r="P7">
        <v>29106045557000</v>
      </c>
      <c r="Q7">
        <v>2435612268</v>
      </c>
      <c r="R7">
        <v>984906966.16999996</v>
      </c>
      <c r="S7">
        <v>32130690</v>
      </c>
      <c r="T7" s="1">
        <v>8.3680631339293505E-5</v>
      </c>
      <c r="U7" s="1">
        <v>3.38385702118551E-5</v>
      </c>
      <c r="V7">
        <v>905864.31716841401</v>
      </c>
      <c r="W7">
        <v>4.07194260936964</v>
      </c>
      <c r="Y7">
        <v>827</v>
      </c>
      <c r="Z7" s="2" t="s">
        <v>24</v>
      </c>
      <c r="AA7">
        <v>1</v>
      </c>
      <c r="AB7">
        <v>6691746839250</v>
      </c>
      <c r="AC7">
        <v>17836773000</v>
      </c>
      <c r="AD7">
        <v>1274822489.3299999</v>
      </c>
      <c r="AE7">
        <v>250380881</v>
      </c>
      <c r="AF7">
        <v>2.6654883139600499E-3</v>
      </c>
      <c r="AG7">
        <v>1.90506682328837E-4</v>
      </c>
      <c r="AH7">
        <v>26726.269244375701</v>
      </c>
      <c r="AI7">
        <v>3.1502506236439101</v>
      </c>
      <c r="AK7" t="s">
        <v>278</v>
      </c>
    </row>
    <row r="8" spans="1:37" x14ac:dyDescent="0.4">
      <c r="A8">
        <v>1120</v>
      </c>
      <c r="B8" t="s">
        <v>16</v>
      </c>
      <c r="C8">
        <v>2</v>
      </c>
      <c r="D8">
        <v>921755778390</v>
      </c>
      <c r="E8">
        <v>2222723000</v>
      </c>
      <c r="F8">
        <v>216803937.63</v>
      </c>
      <c r="G8">
        <v>7771971</v>
      </c>
      <c r="H8">
        <v>2.4114012107223802E-3</v>
      </c>
      <c r="I8">
        <v>2.35207570934552E-4</v>
      </c>
      <c r="J8">
        <v>118600.002288994</v>
      </c>
      <c r="K8">
        <v>4.0464699208541397</v>
      </c>
      <c r="M8">
        <v>1106</v>
      </c>
      <c r="N8" t="s">
        <v>21</v>
      </c>
      <c r="O8">
        <v>1</v>
      </c>
      <c r="P8">
        <v>2796524410680</v>
      </c>
      <c r="Q8">
        <v>6640646622.46</v>
      </c>
      <c r="R8">
        <v>576589914.46000004</v>
      </c>
      <c r="S8">
        <v>38388059</v>
      </c>
      <c r="T8">
        <v>2.37460706479056E-3</v>
      </c>
      <c r="U8">
        <v>2.06180898066896E-4</v>
      </c>
      <c r="V8">
        <v>72848.809852042701</v>
      </c>
      <c r="W8">
        <v>3.4144221814028701</v>
      </c>
      <c r="Y8">
        <v>1027</v>
      </c>
      <c r="Z8" s="2" t="s">
        <v>28</v>
      </c>
      <c r="AA8">
        <v>1</v>
      </c>
      <c r="AB8">
        <v>8243685276700</v>
      </c>
      <c r="AC8">
        <v>22669397000</v>
      </c>
      <c r="AD8">
        <v>1332883530.01</v>
      </c>
      <c r="AE8">
        <v>222002297</v>
      </c>
      <c r="AF8">
        <v>2.74991053625893E-3</v>
      </c>
      <c r="AG8">
        <v>1.61685397400755E-4</v>
      </c>
      <c r="AH8">
        <v>37133.333249700503</v>
      </c>
      <c r="AI8">
        <v>2.9012810782002401</v>
      </c>
      <c r="AK8" t="s">
        <v>279</v>
      </c>
    </row>
    <row r="9" spans="1:37" x14ac:dyDescent="0.4">
      <c r="A9">
        <v>114</v>
      </c>
      <c r="B9" t="s">
        <v>17</v>
      </c>
      <c r="C9">
        <v>3</v>
      </c>
      <c r="D9">
        <v>139035246600</v>
      </c>
      <c r="E9">
        <v>498016504</v>
      </c>
      <c r="F9">
        <v>10750000</v>
      </c>
      <c r="G9">
        <v>809189</v>
      </c>
      <c r="H9">
        <v>3.5819442636209902E-3</v>
      </c>
      <c r="I9" s="1">
        <v>7.7318523632553395E-5</v>
      </c>
      <c r="J9">
        <v>171820.48520185001</v>
      </c>
      <c r="K9">
        <v>3.7155910152425702</v>
      </c>
      <c r="M9">
        <v>729</v>
      </c>
      <c r="N9" t="s">
        <v>23</v>
      </c>
      <c r="O9">
        <v>1</v>
      </c>
      <c r="P9">
        <v>34666060158000</v>
      </c>
      <c r="Q9">
        <v>68337547000</v>
      </c>
      <c r="R9">
        <v>9003881666.6700001</v>
      </c>
      <c r="S9">
        <v>1990088639</v>
      </c>
      <c r="T9">
        <v>1.9713098831691E-3</v>
      </c>
      <c r="U9">
        <v>2.5973189989379698E-4</v>
      </c>
      <c r="V9">
        <v>17419.354836083701</v>
      </c>
      <c r="W9">
        <v>3.2607035071297501</v>
      </c>
      <c r="Y9">
        <v>19</v>
      </c>
      <c r="Z9" s="2" t="s">
        <v>26</v>
      </c>
      <c r="AA9">
        <v>1</v>
      </c>
      <c r="AB9">
        <v>2990750000000</v>
      </c>
      <c r="AC9">
        <v>4497931980</v>
      </c>
      <c r="AD9">
        <v>428525210.33999997</v>
      </c>
      <c r="AE9">
        <v>10440000</v>
      </c>
      <c r="AF9">
        <v>1.50394783248349E-3</v>
      </c>
      <c r="AG9">
        <v>1.43283527656942E-4</v>
      </c>
      <c r="AH9">
        <v>286470.30651340901</v>
      </c>
      <c r="AI9">
        <v>2.8583896235817901</v>
      </c>
      <c r="AK9" t="s">
        <v>280</v>
      </c>
    </row>
    <row r="10" spans="1:37" x14ac:dyDescent="0.4">
      <c r="A10">
        <v>213</v>
      </c>
      <c r="B10" t="s">
        <v>18</v>
      </c>
      <c r="C10">
        <v>3</v>
      </c>
      <c r="D10">
        <v>383400000000</v>
      </c>
      <c r="E10">
        <v>1211626834</v>
      </c>
      <c r="F10">
        <v>64700000</v>
      </c>
      <c r="G10">
        <v>10174479</v>
      </c>
      <c r="H10">
        <v>3.1602160511215401E-3</v>
      </c>
      <c r="I10">
        <v>1.6875326030255599E-4</v>
      </c>
      <c r="J10">
        <v>37682.519173708999</v>
      </c>
      <c r="K10">
        <v>3.3338763358098</v>
      </c>
      <c r="M10">
        <v>827</v>
      </c>
      <c r="N10" t="s">
        <v>24</v>
      </c>
      <c r="O10">
        <v>1</v>
      </c>
      <c r="P10">
        <v>6691746839250</v>
      </c>
      <c r="Q10">
        <v>17836773000</v>
      </c>
      <c r="R10">
        <v>1274822489.3299999</v>
      </c>
      <c r="S10">
        <v>250380881</v>
      </c>
      <c r="T10">
        <v>2.6654883139600499E-3</v>
      </c>
      <c r="U10">
        <v>1.90506682328837E-4</v>
      </c>
      <c r="V10">
        <v>26726.269244375701</v>
      </c>
      <c r="W10">
        <v>3.1894024548180999</v>
      </c>
      <c r="Y10">
        <v>2</v>
      </c>
      <c r="Z10" s="2" t="s">
        <v>30</v>
      </c>
      <c r="AA10">
        <v>1</v>
      </c>
      <c r="AB10">
        <v>7706400000000</v>
      </c>
      <c r="AC10">
        <v>19708587000</v>
      </c>
      <c r="AD10">
        <v>1267695713.52</v>
      </c>
      <c r="AE10">
        <v>168317807</v>
      </c>
      <c r="AF10">
        <v>2.5574310962316999E-3</v>
      </c>
      <c r="AG10">
        <v>1.6449908044222899E-4</v>
      </c>
      <c r="AH10">
        <v>45784.817051472099</v>
      </c>
      <c r="AI10">
        <v>2.7371037987381199</v>
      </c>
      <c r="AK10" t="s">
        <v>281</v>
      </c>
    </row>
    <row r="11" spans="1:37" x14ac:dyDescent="0.4">
      <c r="A11">
        <v>678</v>
      </c>
      <c r="B11" t="s">
        <v>19</v>
      </c>
      <c r="C11">
        <v>3</v>
      </c>
      <c r="D11">
        <v>224995816850</v>
      </c>
      <c r="E11">
        <v>288068848</v>
      </c>
      <c r="F11">
        <v>69719489.75</v>
      </c>
      <c r="G11">
        <v>2978061</v>
      </c>
      <c r="H11">
        <v>1.28032979471813E-3</v>
      </c>
      <c r="I11">
        <v>3.0987015992604199E-4</v>
      </c>
      <c r="J11">
        <v>75551.110890609605</v>
      </c>
      <c r="K11">
        <v>3.1867129381155599</v>
      </c>
      <c r="M11">
        <v>925</v>
      </c>
      <c r="N11" t="s">
        <v>20</v>
      </c>
      <c r="O11">
        <v>1</v>
      </c>
      <c r="P11">
        <v>4080234600000</v>
      </c>
      <c r="Q11">
        <v>10422023516</v>
      </c>
      <c r="R11">
        <v>317033928.56999999</v>
      </c>
      <c r="S11">
        <v>14898331</v>
      </c>
      <c r="T11">
        <v>2.55427065786854E-3</v>
      </c>
      <c r="U11" s="1">
        <v>7.7699926511578494E-5</v>
      </c>
      <c r="V11">
        <v>273871.92565395398</v>
      </c>
      <c r="W11">
        <v>3.17511958703439</v>
      </c>
      <c r="Y11">
        <v>275</v>
      </c>
      <c r="Z11" s="2" t="s">
        <v>34</v>
      </c>
      <c r="AA11">
        <v>1</v>
      </c>
      <c r="AB11">
        <v>6779045878000</v>
      </c>
      <c r="AC11">
        <v>15577184456</v>
      </c>
      <c r="AD11">
        <v>959463157.59000003</v>
      </c>
      <c r="AE11">
        <v>97771862</v>
      </c>
      <c r="AF11">
        <v>2.2978431974553402E-3</v>
      </c>
      <c r="AG11">
        <v>1.4153365751716401E-4</v>
      </c>
      <c r="AH11">
        <v>69335.345971011498</v>
      </c>
      <c r="AI11">
        <v>2.1886425306347999</v>
      </c>
      <c r="AK11" t="s">
        <v>282</v>
      </c>
    </row>
    <row r="12" spans="1:37" x14ac:dyDescent="0.4">
      <c r="A12">
        <v>925</v>
      </c>
      <c r="B12" t="s">
        <v>20</v>
      </c>
      <c r="C12">
        <v>1</v>
      </c>
      <c r="D12">
        <v>4080234600000</v>
      </c>
      <c r="E12">
        <v>10422023516</v>
      </c>
      <c r="F12">
        <v>317033928.56999999</v>
      </c>
      <c r="G12">
        <v>14898331</v>
      </c>
      <c r="H12">
        <v>2.55427065786854E-3</v>
      </c>
      <c r="I12" s="1">
        <v>7.7699926511578494E-5</v>
      </c>
      <c r="J12">
        <v>273871.92565395398</v>
      </c>
      <c r="K12">
        <v>3.1457519468647099</v>
      </c>
      <c r="M12">
        <v>1107</v>
      </c>
      <c r="N12" t="s">
        <v>25</v>
      </c>
      <c r="O12">
        <v>2</v>
      </c>
      <c r="P12">
        <v>1526549980620</v>
      </c>
      <c r="Q12">
        <v>3653914726</v>
      </c>
      <c r="R12">
        <v>318009888.73000002</v>
      </c>
      <c r="S12">
        <v>42334883</v>
      </c>
      <c r="T12">
        <v>2.39357687097541E-3</v>
      </c>
      <c r="U12">
        <v>2.0831934281040801E-4</v>
      </c>
      <c r="V12">
        <v>36058.915779216797</v>
      </c>
      <c r="W12">
        <v>3.16698981874289</v>
      </c>
      <c r="Y12">
        <v>284</v>
      </c>
      <c r="Z12" s="2" t="s">
        <v>35</v>
      </c>
      <c r="AA12">
        <v>1</v>
      </c>
      <c r="AB12">
        <v>1786900351500</v>
      </c>
      <c r="AC12">
        <v>3177905489</v>
      </c>
      <c r="AD12">
        <v>258760282.28</v>
      </c>
      <c r="AE12">
        <v>12295510</v>
      </c>
      <c r="AF12">
        <v>1.7784458357357901E-3</v>
      </c>
      <c r="AG12">
        <v>1.4480957601400901E-4</v>
      </c>
      <c r="AH12">
        <v>145329.502517585</v>
      </c>
      <c r="AI12">
        <v>2.11325615450914</v>
      </c>
      <c r="AK12" t="s">
        <v>283</v>
      </c>
    </row>
    <row r="13" spans="1:37" x14ac:dyDescent="0.4">
      <c r="A13">
        <v>1106</v>
      </c>
      <c r="B13" t="s">
        <v>21</v>
      </c>
      <c r="C13">
        <v>1</v>
      </c>
      <c r="D13">
        <v>2796524410680</v>
      </c>
      <c r="E13">
        <v>6640646622.46</v>
      </c>
      <c r="F13">
        <v>576589914.46000004</v>
      </c>
      <c r="G13">
        <v>38388059</v>
      </c>
      <c r="H13">
        <v>2.37460706479056E-3</v>
      </c>
      <c r="I13">
        <v>2.06180898066896E-4</v>
      </c>
      <c r="J13">
        <v>72848.809852042701</v>
      </c>
      <c r="K13">
        <v>3.10287249307284</v>
      </c>
      <c r="M13">
        <v>1027</v>
      </c>
      <c r="N13" t="s">
        <v>28</v>
      </c>
      <c r="O13">
        <v>1</v>
      </c>
      <c r="P13">
        <v>8243685276700</v>
      </c>
      <c r="Q13">
        <v>22669397000</v>
      </c>
      <c r="R13">
        <v>1332883530.01</v>
      </c>
      <c r="S13">
        <v>222002297</v>
      </c>
      <c r="T13">
        <v>2.74991053625893E-3</v>
      </c>
      <c r="U13">
        <v>1.61685397400755E-4</v>
      </c>
      <c r="V13">
        <v>37133.333249700503</v>
      </c>
      <c r="W13">
        <v>2.9071099194602099</v>
      </c>
      <c r="Y13">
        <v>553</v>
      </c>
      <c r="Z13" t="s">
        <v>39</v>
      </c>
      <c r="AA13">
        <v>1</v>
      </c>
      <c r="AB13">
        <v>4003444563600</v>
      </c>
      <c r="AC13">
        <v>4982443783</v>
      </c>
      <c r="AD13">
        <v>688472658.71000004</v>
      </c>
      <c r="AE13">
        <v>24290936</v>
      </c>
      <c r="AF13">
        <v>1.24453922212417E-3</v>
      </c>
      <c r="AG13">
        <v>1.71970074213019E-4</v>
      </c>
      <c r="AH13">
        <v>164812.28074537701</v>
      </c>
      <c r="AI13">
        <v>1.9282159293629499</v>
      </c>
      <c r="AK13" t="s">
        <v>284</v>
      </c>
    </row>
    <row r="14" spans="1:37" x14ac:dyDescent="0.4">
      <c r="A14">
        <v>540</v>
      </c>
      <c r="B14" t="s">
        <v>22</v>
      </c>
      <c r="C14">
        <v>2</v>
      </c>
      <c r="D14">
        <v>783479865000</v>
      </c>
      <c r="E14">
        <v>223167120</v>
      </c>
      <c r="F14">
        <v>56750000</v>
      </c>
      <c r="G14">
        <v>1262385</v>
      </c>
      <c r="H14">
        <v>2.84840912918674E-4</v>
      </c>
      <c r="I14" s="1">
        <v>7.2433259021915003E-5</v>
      </c>
      <c r="J14">
        <v>620634.643947765</v>
      </c>
      <c r="K14">
        <v>2.9063051782141098</v>
      </c>
      <c r="M14">
        <v>19</v>
      </c>
      <c r="N14" t="s">
        <v>26</v>
      </c>
      <c r="O14">
        <v>1</v>
      </c>
      <c r="P14">
        <v>2990750000000</v>
      </c>
      <c r="Q14">
        <v>4497931980</v>
      </c>
      <c r="R14">
        <v>428525210.33999997</v>
      </c>
      <c r="S14">
        <v>10440000</v>
      </c>
      <c r="T14">
        <v>1.50394783248349E-3</v>
      </c>
      <c r="U14">
        <v>1.43283527656942E-4</v>
      </c>
      <c r="V14">
        <v>286470.30651340901</v>
      </c>
      <c r="W14">
        <v>2.83338504902285</v>
      </c>
      <c r="Y14">
        <v>357</v>
      </c>
      <c r="Z14" s="2" t="s">
        <v>48</v>
      </c>
      <c r="AA14">
        <v>1</v>
      </c>
      <c r="AB14">
        <v>36570999809500</v>
      </c>
      <c r="AC14">
        <v>64228955000</v>
      </c>
      <c r="AD14">
        <v>6806137767.8999996</v>
      </c>
      <c r="AE14">
        <v>828254487</v>
      </c>
      <c r="AF14">
        <v>1.75628107884858E-3</v>
      </c>
      <c r="AG14">
        <v>1.8610751150784701E-4</v>
      </c>
      <c r="AH14">
        <v>44154.303276958803</v>
      </c>
      <c r="AI14">
        <v>1.8992180342563301</v>
      </c>
      <c r="AK14" t="s">
        <v>285</v>
      </c>
    </row>
    <row r="15" spans="1:37" x14ac:dyDescent="0.4">
      <c r="A15">
        <v>729</v>
      </c>
      <c r="B15" t="s">
        <v>23</v>
      </c>
      <c r="C15">
        <v>1</v>
      </c>
      <c r="D15">
        <v>34666060158000</v>
      </c>
      <c r="E15">
        <v>68337547000</v>
      </c>
      <c r="F15">
        <v>9003881666.6700001</v>
      </c>
      <c r="G15">
        <v>1990088639</v>
      </c>
      <c r="H15">
        <v>1.9713098831691E-3</v>
      </c>
      <c r="I15">
        <v>2.5973189989379698E-4</v>
      </c>
      <c r="J15">
        <v>17419.354836083701</v>
      </c>
      <c r="K15">
        <v>2.86176112046997</v>
      </c>
      <c r="M15">
        <v>557</v>
      </c>
      <c r="N15" t="s">
        <v>29</v>
      </c>
      <c r="O15">
        <v>2</v>
      </c>
      <c r="P15">
        <v>809954164800</v>
      </c>
      <c r="Q15">
        <v>827516595</v>
      </c>
      <c r="R15">
        <v>204554304.13</v>
      </c>
      <c r="S15">
        <v>5802449</v>
      </c>
      <c r="T15">
        <v>1.02168323957484E-3</v>
      </c>
      <c r="U15">
        <v>2.5255046892747301E-4</v>
      </c>
      <c r="V15">
        <v>139588.329824182</v>
      </c>
      <c r="W15">
        <v>2.7454535220858798</v>
      </c>
      <c r="Y15">
        <v>918</v>
      </c>
      <c r="Z15" s="2" t="s">
        <v>46</v>
      </c>
      <c r="AA15">
        <v>1</v>
      </c>
      <c r="AB15">
        <v>14992245054000</v>
      </c>
      <c r="AC15">
        <v>12920284000</v>
      </c>
      <c r="AD15">
        <v>3740881280.1300001</v>
      </c>
      <c r="AE15">
        <v>189802813</v>
      </c>
      <c r="AF15">
        <v>8.6179781303353197E-4</v>
      </c>
      <c r="AG15">
        <v>2.4952108684562298E-4</v>
      </c>
      <c r="AH15">
        <v>78988.529290132195</v>
      </c>
      <c r="AI15">
        <v>1.8921748822975899</v>
      </c>
      <c r="AK15" t="s">
        <v>286</v>
      </c>
    </row>
    <row r="16" spans="1:37" x14ac:dyDescent="0.4">
      <c r="A16">
        <v>827</v>
      </c>
      <c r="B16" t="s">
        <v>24</v>
      </c>
      <c r="C16">
        <v>1</v>
      </c>
      <c r="D16">
        <v>6691746839250</v>
      </c>
      <c r="E16">
        <v>17836773000</v>
      </c>
      <c r="F16">
        <v>1274822489.3299999</v>
      </c>
      <c r="G16">
        <v>250380881</v>
      </c>
      <c r="H16">
        <v>2.6654883139600499E-3</v>
      </c>
      <c r="I16">
        <v>1.90506682328837E-4</v>
      </c>
      <c r="J16">
        <v>26726.269244375701</v>
      </c>
      <c r="K16">
        <v>2.8544112978923102</v>
      </c>
      <c r="M16">
        <v>2</v>
      </c>
      <c r="N16" t="s">
        <v>30</v>
      </c>
      <c r="O16">
        <v>1</v>
      </c>
      <c r="P16">
        <v>7706400000000</v>
      </c>
      <c r="Q16">
        <v>19708587000</v>
      </c>
      <c r="R16">
        <v>1267695713.52</v>
      </c>
      <c r="S16">
        <v>168317807</v>
      </c>
      <c r="T16">
        <v>2.5574310962316999E-3</v>
      </c>
      <c r="U16">
        <v>1.6449908044222899E-4</v>
      </c>
      <c r="V16">
        <v>45784.817051472099</v>
      </c>
      <c r="W16">
        <v>2.7393921820430398</v>
      </c>
      <c r="Y16">
        <v>819</v>
      </c>
      <c r="Z16" s="2" t="s">
        <v>51</v>
      </c>
      <c r="AA16">
        <v>1</v>
      </c>
      <c r="AB16">
        <v>6502869198000</v>
      </c>
      <c r="AC16">
        <v>16253054384</v>
      </c>
      <c r="AD16">
        <v>470133014.98000002</v>
      </c>
      <c r="AE16">
        <v>59104408</v>
      </c>
      <c r="AF16">
        <v>2.49936664710997E-3</v>
      </c>
      <c r="AG16" s="1">
        <v>7.2296243498883898E-5</v>
      </c>
      <c r="AH16">
        <v>110023.421569504</v>
      </c>
      <c r="AI16">
        <v>1.7186640825577999</v>
      </c>
      <c r="AK16" t="s">
        <v>287</v>
      </c>
    </row>
    <row r="17" spans="1:37" x14ac:dyDescent="0.4">
      <c r="A17">
        <v>1107</v>
      </c>
      <c r="B17" t="s">
        <v>25</v>
      </c>
      <c r="C17">
        <v>2</v>
      </c>
      <c r="D17">
        <v>1526549980620</v>
      </c>
      <c r="E17">
        <v>3653914726</v>
      </c>
      <c r="F17">
        <v>318009888.73000002</v>
      </c>
      <c r="G17">
        <v>42334883</v>
      </c>
      <c r="H17">
        <v>2.39357687097541E-3</v>
      </c>
      <c r="I17">
        <v>2.0831934281040801E-4</v>
      </c>
      <c r="J17">
        <v>36058.915779216797</v>
      </c>
      <c r="K17">
        <v>2.8266921270402898</v>
      </c>
      <c r="M17">
        <v>30</v>
      </c>
      <c r="N17" t="s">
        <v>31</v>
      </c>
      <c r="O17">
        <v>2</v>
      </c>
      <c r="P17">
        <v>591617725800</v>
      </c>
      <c r="Q17">
        <v>1079151408</v>
      </c>
      <c r="R17">
        <v>119061250</v>
      </c>
      <c r="S17">
        <v>6351724</v>
      </c>
      <c r="T17">
        <v>1.8240687540941099E-3</v>
      </c>
      <c r="U17">
        <v>2.0124692822379899E-4</v>
      </c>
      <c r="V17">
        <v>93142.857876066395</v>
      </c>
      <c r="W17">
        <v>2.6725391872415498</v>
      </c>
      <c r="Y17">
        <v>194</v>
      </c>
      <c r="Z17" t="s">
        <v>50</v>
      </c>
      <c r="AA17">
        <v>1</v>
      </c>
      <c r="AB17">
        <v>13645516681000</v>
      </c>
      <c r="AC17">
        <v>2738879989</v>
      </c>
      <c r="AD17">
        <v>1097565017.8800001</v>
      </c>
      <c r="AE17">
        <v>28954088</v>
      </c>
      <c r="AF17">
        <v>2.00716473624894E-4</v>
      </c>
      <c r="AG17" s="1">
        <v>8.0434112063213197E-5</v>
      </c>
      <c r="AH17">
        <v>471281.17732459703</v>
      </c>
      <c r="AI17">
        <v>1.4905479110495199</v>
      </c>
      <c r="AK17" t="s">
        <v>289</v>
      </c>
    </row>
    <row r="18" spans="1:37" x14ac:dyDescent="0.4">
      <c r="A18">
        <v>19</v>
      </c>
      <c r="B18" t="s">
        <v>26</v>
      </c>
      <c r="C18">
        <v>1</v>
      </c>
      <c r="D18">
        <v>2990750000000</v>
      </c>
      <c r="E18">
        <v>4497931980</v>
      </c>
      <c r="F18">
        <v>428525210.33999997</v>
      </c>
      <c r="G18">
        <v>10440000</v>
      </c>
      <c r="H18">
        <v>1.50394783248349E-3</v>
      </c>
      <c r="I18">
        <v>1.43283527656942E-4</v>
      </c>
      <c r="J18">
        <v>286470.30651340901</v>
      </c>
      <c r="K18">
        <v>2.77084228217092</v>
      </c>
      <c r="M18">
        <v>540</v>
      </c>
      <c r="N18" t="s">
        <v>22</v>
      </c>
      <c r="O18">
        <v>2</v>
      </c>
      <c r="P18">
        <v>783479865000</v>
      </c>
      <c r="Q18">
        <v>223167120</v>
      </c>
      <c r="R18">
        <v>56750000</v>
      </c>
      <c r="S18">
        <v>1262385</v>
      </c>
      <c r="T18">
        <v>2.84840912918674E-4</v>
      </c>
      <c r="U18" s="1">
        <v>7.2433259021915003E-5</v>
      </c>
      <c r="V18">
        <v>620634.643947765</v>
      </c>
      <c r="W18">
        <v>2.6154788516559302</v>
      </c>
      <c r="Y18">
        <v>23</v>
      </c>
      <c r="Z18" s="2" t="s">
        <v>59</v>
      </c>
      <c r="AA18">
        <v>1</v>
      </c>
      <c r="AB18">
        <v>17086065076050</v>
      </c>
      <c r="AC18">
        <v>25266207000</v>
      </c>
      <c r="AD18">
        <v>3178486034.73</v>
      </c>
      <c r="AE18">
        <v>441025000</v>
      </c>
      <c r="AF18">
        <v>1.47876101885016E-3</v>
      </c>
      <c r="AG18">
        <v>1.86027971951562E-4</v>
      </c>
      <c r="AH18">
        <v>38741.715494699798</v>
      </c>
      <c r="AI18">
        <v>1.44851451963199</v>
      </c>
      <c r="AK18" t="s">
        <v>288</v>
      </c>
    </row>
    <row r="19" spans="1:37" x14ac:dyDescent="0.4">
      <c r="A19">
        <v>1123</v>
      </c>
      <c r="B19" t="s">
        <v>27</v>
      </c>
      <c r="C19">
        <v>3</v>
      </c>
      <c r="D19">
        <v>242241961500</v>
      </c>
      <c r="E19">
        <v>636639592</v>
      </c>
      <c r="F19">
        <v>41575000</v>
      </c>
      <c r="G19">
        <v>4941723</v>
      </c>
      <c r="H19">
        <v>2.6281144193921898E-3</v>
      </c>
      <c r="I19">
        <v>1.7162592204323699E-4</v>
      </c>
      <c r="J19">
        <v>49019.736941953197</v>
      </c>
      <c r="K19">
        <v>2.6999576742694198</v>
      </c>
      <c r="M19">
        <v>231</v>
      </c>
      <c r="N19" t="s">
        <v>32</v>
      </c>
      <c r="O19">
        <v>2</v>
      </c>
      <c r="P19">
        <v>571180194100</v>
      </c>
      <c r="Q19">
        <v>1450510485</v>
      </c>
      <c r="R19">
        <v>80800000</v>
      </c>
      <c r="S19">
        <v>10405520</v>
      </c>
      <c r="T19">
        <v>2.5394971674141198E-3</v>
      </c>
      <c r="U19">
        <v>1.4146148769621699E-4</v>
      </c>
      <c r="V19">
        <v>54892.037505093402</v>
      </c>
      <c r="W19">
        <v>2.3917981595947402</v>
      </c>
      <c r="Y19">
        <v>1070</v>
      </c>
      <c r="Z19" s="2" t="s">
        <v>61</v>
      </c>
      <c r="AA19">
        <v>1</v>
      </c>
      <c r="AB19">
        <v>14623411580050</v>
      </c>
      <c r="AC19">
        <v>29342327000</v>
      </c>
      <c r="AD19">
        <v>2013229721.22</v>
      </c>
      <c r="AE19">
        <v>378624659</v>
      </c>
      <c r="AF19">
        <v>2.0065308864061701E-3</v>
      </c>
      <c r="AG19">
        <v>1.3767168558440499E-4</v>
      </c>
      <c r="AH19">
        <v>38622.4489938728</v>
      </c>
      <c r="AI19">
        <v>1.44803359224929</v>
      </c>
      <c r="AK19" t="s">
        <v>290</v>
      </c>
    </row>
    <row r="20" spans="1:37" x14ac:dyDescent="0.4">
      <c r="A20">
        <v>1027</v>
      </c>
      <c r="B20" t="s">
        <v>28</v>
      </c>
      <c r="C20">
        <v>1</v>
      </c>
      <c r="D20">
        <v>8243685276700</v>
      </c>
      <c r="E20">
        <v>22669397000</v>
      </c>
      <c r="F20">
        <v>1332883530.01</v>
      </c>
      <c r="G20">
        <v>222002297</v>
      </c>
      <c r="H20">
        <v>2.74991053625893E-3</v>
      </c>
      <c r="I20">
        <v>1.61685397400755E-4</v>
      </c>
      <c r="J20">
        <v>37133.333249700503</v>
      </c>
      <c r="K20">
        <v>2.6097963956908199</v>
      </c>
      <c r="M20">
        <v>275</v>
      </c>
      <c r="N20" t="s">
        <v>34</v>
      </c>
      <c r="O20">
        <v>1</v>
      </c>
      <c r="P20">
        <v>6779045878000</v>
      </c>
      <c r="Q20">
        <v>15577184456</v>
      </c>
      <c r="R20">
        <v>959463157.59000003</v>
      </c>
      <c r="S20">
        <v>97771862</v>
      </c>
      <c r="T20">
        <v>2.2978431974553402E-3</v>
      </c>
      <c r="U20">
        <v>1.4153365751716401E-4</v>
      </c>
      <c r="V20">
        <v>69335.345971011498</v>
      </c>
      <c r="W20">
        <v>2.1519094627083799</v>
      </c>
      <c r="Y20">
        <v>989</v>
      </c>
      <c r="Z20" s="2" t="s">
        <v>62</v>
      </c>
      <c r="AA20">
        <v>1</v>
      </c>
      <c r="AB20">
        <v>2773189258500</v>
      </c>
      <c r="AC20">
        <v>3557258380</v>
      </c>
      <c r="AD20">
        <v>346670002.82999998</v>
      </c>
      <c r="AE20">
        <v>15953830</v>
      </c>
      <c r="AF20">
        <v>1.2827319192502901E-3</v>
      </c>
      <c r="AG20">
        <v>1.25007697100886E-4</v>
      </c>
      <c r="AH20">
        <v>173825.92509134099</v>
      </c>
      <c r="AI20">
        <v>1.31184310100361</v>
      </c>
      <c r="AK20" t="s">
        <v>291</v>
      </c>
    </row>
    <row r="21" spans="1:37" x14ac:dyDescent="0.4">
      <c r="A21">
        <v>557</v>
      </c>
      <c r="B21" t="s">
        <v>29</v>
      </c>
      <c r="C21">
        <v>2</v>
      </c>
      <c r="D21">
        <v>809954164800</v>
      </c>
      <c r="E21">
        <v>827516595</v>
      </c>
      <c r="F21">
        <v>204554304.13</v>
      </c>
      <c r="G21">
        <v>5802449</v>
      </c>
      <c r="H21">
        <v>1.02168323957484E-3</v>
      </c>
      <c r="I21">
        <v>2.5255046892747301E-4</v>
      </c>
      <c r="J21">
        <v>139588.329824182</v>
      </c>
      <c r="K21">
        <v>2.4701951226049101</v>
      </c>
      <c r="M21">
        <v>284</v>
      </c>
      <c r="N21" t="s">
        <v>35</v>
      </c>
      <c r="O21">
        <v>1</v>
      </c>
      <c r="P21">
        <v>1786900351500</v>
      </c>
      <c r="Q21">
        <v>3177905489</v>
      </c>
      <c r="R21">
        <v>258760282.28</v>
      </c>
      <c r="S21">
        <v>12295510</v>
      </c>
      <c r="T21">
        <v>1.7784458357357901E-3</v>
      </c>
      <c r="U21">
        <v>1.4480957601400901E-4</v>
      </c>
      <c r="V21">
        <v>145329.502517585</v>
      </c>
      <c r="W21">
        <v>2.07260234697655</v>
      </c>
      <c r="Y21">
        <v>52</v>
      </c>
      <c r="Z21" t="s">
        <v>68</v>
      </c>
      <c r="AA21">
        <v>1</v>
      </c>
      <c r="AB21">
        <v>4375320465850</v>
      </c>
      <c r="AC21">
        <v>6006117000</v>
      </c>
      <c r="AD21">
        <v>716960948.51999998</v>
      </c>
      <c r="AE21">
        <v>55677883</v>
      </c>
      <c r="AF21">
        <v>1.3727261915735299E-3</v>
      </c>
      <c r="AG21">
        <v>1.63864785246242E-4</v>
      </c>
      <c r="AH21">
        <v>78582.737527035599</v>
      </c>
      <c r="AI21">
        <v>1.2716622623268401</v>
      </c>
      <c r="AK21" t="s">
        <v>292</v>
      </c>
    </row>
    <row r="22" spans="1:37" x14ac:dyDescent="0.4">
      <c r="A22">
        <v>2</v>
      </c>
      <c r="B22" t="s">
        <v>30</v>
      </c>
      <c r="C22">
        <v>1</v>
      </c>
      <c r="D22">
        <v>7706400000000</v>
      </c>
      <c r="E22">
        <v>19708587000</v>
      </c>
      <c r="F22">
        <v>1267695713.52</v>
      </c>
      <c r="G22">
        <v>168317807</v>
      </c>
      <c r="H22">
        <v>2.5574310962316999E-3</v>
      </c>
      <c r="I22">
        <v>1.6449908044222899E-4</v>
      </c>
      <c r="J22">
        <v>45784.817051472099</v>
      </c>
      <c r="K22">
        <v>2.4509961712561701</v>
      </c>
      <c r="M22">
        <v>745</v>
      </c>
      <c r="N22" t="s">
        <v>38</v>
      </c>
      <c r="O22">
        <v>2</v>
      </c>
      <c r="P22">
        <v>454000000000</v>
      </c>
      <c r="Q22">
        <v>269258032</v>
      </c>
      <c r="R22">
        <v>123574130.75</v>
      </c>
      <c r="S22">
        <v>4800000</v>
      </c>
      <c r="T22">
        <v>5.9307936563876595E-4</v>
      </c>
      <c r="U22">
        <v>2.7218971530836998E-4</v>
      </c>
      <c r="V22">
        <v>94583.333333333299</v>
      </c>
      <c r="W22">
        <v>2.0563529769590598</v>
      </c>
      <c r="Y22">
        <v>977</v>
      </c>
      <c r="Z22" t="s">
        <v>73</v>
      </c>
      <c r="AA22">
        <v>1</v>
      </c>
      <c r="AB22">
        <v>8265802191800</v>
      </c>
      <c r="AC22">
        <v>11809888000</v>
      </c>
      <c r="AD22">
        <v>999463860.75</v>
      </c>
      <c r="AE22">
        <v>65153857</v>
      </c>
      <c r="AF22">
        <v>1.4287648949204001E-3</v>
      </c>
      <c r="AG22">
        <v>1.209155309501E-4</v>
      </c>
      <c r="AH22">
        <v>126865.89209599599</v>
      </c>
      <c r="AI22">
        <v>1.0705303169593701</v>
      </c>
      <c r="AK22" t="s">
        <v>293</v>
      </c>
    </row>
    <row r="23" spans="1:37" x14ac:dyDescent="0.4">
      <c r="A23">
        <v>30</v>
      </c>
      <c r="B23" t="s">
        <v>31</v>
      </c>
      <c r="C23">
        <v>2</v>
      </c>
      <c r="D23">
        <v>591617725800</v>
      </c>
      <c r="E23">
        <v>1079151408</v>
      </c>
      <c r="F23">
        <v>119061250</v>
      </c>
      <c r="G23">
        <v>6351724</v>
      </c>
      <c r="H23">
        <v>1.8240687540941099E-3</v>
      </c>
      <c r="I23">
        <v>2.0124692822379899E-4</v>
      </c>
      <c r="J23">
        <v>93142.857876066395</v>
      </c>
      <c r="K23">
        <v>2.3982911227682999</v>
      </c>
      <c r="M23">
        <v>317</v>
      </c>
      <c r="N23" t="s">
        <v>37</v>
      </c>
      <c r="O23">
        <v>2</v>
      </c>
      <c r="P23">
        <v>407530012500</v>
      </c>
      <c r="Q23">
        <v>1242731845</v>
      </c>
      <c r="R23">
        <v>33325000</v>
      </c>
      <c r="S23">
        <v>8908513</v>
      </c>
      <c r="T23">
        <v>3.0494241083655099E-3</v>
      </c>
      <c r="U23" s="1">
        <v>8.1773118489033897E-5</v>
      </c>
      <c r="V23">
        <v>45746.132098589202</v>
      </c>
      <c r="W23">
        <v>2.0507740995637498</v>
      </c>
      <c r="Y23">
        <v>603</v>
      </c>
      <c r="Z23" s="2" t="s">
        <v>75</v>
      </c>
      <c r="AA23">
        <v>1</v>
      </c>
      <c r="AB23">
        <v>2355094187800</v>
      </c>
      <c r="AC23">
        <v>3229719440</v>
      </c>
      <c r="AD23">
        <v>351829593.38</v>
      </c>
      <c r="AE23">
        <v>29217968</v>
      </c>
      <c r="AF23">
        <v>1.3713759121528001E-3</v>
      </c>
      <c r="AG23">
        <v>1.4939088007713999E-4</v>
      </c>
      <c r="AH23">
        <v>80604.311285439093</v>
      </c>
      <c r="AI23">
        <v>1.0562972641381301</v>
      </c>
      <c r="AK23" t="s">
        <v>294</v>
      </c>
    </row>
    <row r="24" spans="1:37" x14ac:dyDescent="0.4">
      <c r="A24">
        <v>231</v>
      </c>
      <c r="B24" t="s">
        <v>32</v>
      </c>
      <c r="C24">
        <v>2</v>
      </c>
      <c r="D24">
        <v>571180194100</v>
      </c>
      <c r="E24">
        <v>1450510485</v>
      </c>
      <c r="F24">
        <v>80800000</v>
      </c>
      <c r="G24">
        <v>10405520</v>
      </c>
      <c r="H24">
        <v>2.5394971674141198E-3</v>
      </c>
      <c r="I24">
        <v>1.4146148769621699E-4</v>
      </c>
      <c r="J24">
        <v>54892.037505093402</v>
      </c>
      <c r="K24">
        <v>2.1367792526497098</v>
      </c>
      <c r="M24">
        <v>993</v>
      </c>
      <c r="N24" t="s">
        <v>43</v>
      </c>
      <c r="O24">
        <v>2</v>
      </c>
      <c r="P24">
        <v>760723480800</v>
      </c>
      <c r="Q24">
        <v>1784203625</v>
      </c>
      <c r="R24">
        <v>114600000</v>
      </c>
      <c r="S24">
        <v>41915053</v>
      </c>
      <c r="T24">
        <v>2.34540364538725E-3</v>
      </c>
      <c r="U24">
        <v>1.5064606639916399E-4</v>
      </c>
      <c r="V24">
        <v>18149.171391957902</v>
      </c>
      <c r="W24">
        <v>1.9455785196775901</v>
      </c>
      <c r="Y24">
        <v>362</v>
      </c>
      <c r="Z24" t="s">
        <v>71</v>
      </c>
      <c r="AA24">
        <v>1</v>
      </c>
      <c r="AB24">
        <v>1573042160200</v>
      </c>
      <c r="AC24">
        <v>1510488445</v>
      </c>
      <c r="AD24">
        <v>112391108.40000001</v>
      </c>
      <c r="AE24">
        <v>5237698</v>
      </c>
      <c r="AF24">
        <v>9.6023392329672402E-4</v>
      </c>
      <c r="AG24" s="1">
        <v>7.1448249286408394E-5</v>
      </c>
      <c r="AH24">
        <v>300330.82476309198</v>
      </c>
      <c r="AI24">
        <v>1.03833772083974</v>
      </c>
      <c r="AK24" t="s">
        <v>295</v>
      </c>
    </row>
    <row r="25" spans="1:37" x14ac:dyDescent="0.4">
      <c r="A25">
        <v>1138</v>
      </c>
      <c r="B25" t="s">
        <v>33</v>
      </c>
      <c r="C25">
        <v>3</v>
      </c>
      <c r="D25">
        <v>68940900000</v>
      </c>
      <c r="E25">
        <v>83809291</v>
      </c>
      <c r="F25">
        <v>17900000</v>
      </c>
      <c r="G25">
        <v>1220625</v>
      </c>
      <c r="H25">
        <v>1.21566865242548E-3</v>
      </c>
      <c r="I25">
        <v>2.5964267945443101E-4</v>
      </c>
      <c r="J25">
        <v>56480</v>
      </c>
      <c r="K25">
        <v>2.1056354911165198</v>
      </c>
      <c r="M25">
        <v>180</v>
      </c>
      <c r="N25" t="s">
        <v>44</v>
      </c>
      <c r="O25">
        <v>2</v>
      </c>
      <c r="P25">
        <v>1635000000000</v>
      </c>
      <c r="Q25">
        <v>2473371697.0799999</v>
      </c>
      <c r="R25">
        <v>323983788.23000002</v>
      </c>
      <c r="S25">
        <v>24000000</v>
      </c>
      <c r="T25">
        <v>1.5127655639633E-3</v>
      </c>
      <c r="U25">
        <v>1.9815522215902101E-4</v>
      </c>
      <c r="V25">
        <v>68125</v>
      </c>
      <c r="W25">
        <v>1.9373944875843501</v>
      </c>
      <c r="Y25">
        <v>1028</v>
      </c>
      <c r="Z25" s="2" t="s">
        <v>97</v>
      </c>
      <c r="AA25">
        <v>1</v>
      </c>
      <c r="AB25">
        <v>5002732800000</v>
      </c>
      <c r="AC25">
        <v>10221942955</v>
      </c>
      <c r="AD25">
        <v>480697916.67000002</v>
      </c>
      <c r="AE25">
        <v>135250245</v>
      </c>
      <c r="AF25">
        <v>2.0432718203538601E-3</v>
      </c>
      <c r="AG25" s="1">
        <v>9.6087065987214001E-5</v>
      </c>
      <c r="AH25">
        <v>36988.7152514954</v>
      </c>
      <c r="AI25">
        <v>0.82682484848234095</v>
      </c>
      <c r="AK25" t="s">
        <v>296</v>
      </c>
    </row>
    <row r="26" spans="1:37" x14ac:dyDescent="0.4">
      <c r="A26">
        <v>275</v>
      </c>
      <c r="B26" t="s">
        <v>34</v>
      </c>
      <c r="C26">
        <v>1</v>
      </c>
      <c r="D26">
        <v>6779045878000</v>
      </c>
      <c r="E26">
        <v>15577184456</v>
      </c>
      <c r="F26">
        <v>959463157.59000003</v>
      </c>
      <c r="G26">
        <v>97771862</v>
      </c>
      <c r="H26">
        <v>2.2978431974553402E-3</v>
      </c>
      <c r="I26">
        <v>1.4153365751716401E-4</v>
      </c>
      <c r="J26">
        <v>69335.345971011498</v>
      </c>
      <c r="K26">
        <v>1.9145600501056801</v>
      </c>
      <c r="M26">
        <v>918</v>
      </c>
      <c r="N26" t="s">
        <v>46</v>
      </c>
      <c r="O26">
        <v>1</v>
      </c>
      <c r="P26">
        <v>14992245054000</v>
      </c>
      <c r="Q26">
        <v>12920284000</v>
      </c>
      <c r="R26">
        <v>3740881280.1300001</v>
      </c>
      <c r="S26">
        <v>189802813</v>
      </c>
      <c r="T26">
        <v>8.6179781303353197E-4</v>
      </c>
      <c r="U26">
        <v>2.4952108684562298E-4</v>
      </c>
      <c r="V26">
        <v>78988.529290132195</v>
      </c>
      <c r="W26">
        <v>1.9367836307530499</v>
      </c>
      <c r="Y26">
        <v>1008</v>
      </c>
      <c r="Z26" s="2" t="s">
        <v>99</v>
      </c>
      <c r="AA26">
        <v>1</v>
      </c>
      <c r="AB26">
        <v>5031478324400</v>
      </c>
      <c r="AC26">
        <v>6530126000</v>
      </c>
      <c r="AD26">
        <v>823546623.80999994</v>
      </c>
      <c r="AE26">
        <v>139343243</v>
      </c>
      <c r="AF26">
        <v>1.2978543439872E-3</v>
      </c>
      <c r="AG26">
        <v>1.6367885752706799E-4</v>
      </c>
      <c r="AH26">
        <v>36108.520342102202</v>
      </c>
      <c r="AI26">
        <v>0.80758517448116895</v>
      </c>
      <c r="AK26" t="s">
        <v>297</v>
      </c>
    </row>
    <row r="27" spans="1:37" x14ac:dyDescent="0.4">
      <c r="A27">
        <v>284</v>
      </c>
      <c r="B27" t="s">
        <v>35</v>
      </c>
      <c r="C27">
        <v>1</v>
      </c>
      <c r="D27">
        <v>1786900351500</v>
      </c>
      <c r="E27">
        <v>3177905489</v>
      </c>
      <c r="F27">
        <v>258760282.28</v>
      </c>
      <c r="G27">
        <v>12295510</v>
      </c>
      <c r="H27">
        <v>1.7784458357357901E-3</v>
      </c>
      <c r="I27">
        <v>1.4480957601400901E-4</v>
      </c>
      <c r="J27">
        <v>145329.502517585</v>
      </c>
      <c r="K27">
        <v>1.90103778825442</v>
      </c>
      <c r="M27">
        <v>433</v>
      </c>
      <c r="N27" t="s">
        <v>42</v>
      </c>
      <c r="O27">
        <v>2</v>
      </c>
      <c r="P27">
        <v>798827928300</v>
      </c>
      <c r="Q27">
        <v>594724900</v>
      </c>
      <c r="R27">
        <v>189336837</v>
      </c>
      <c r="S27">
        <v>6447748</v>
      </c>
      <c r="T27">
        <v>7.4449687965422596E-4</v>
      </c>
      <c r="U27">
        <v>2.3701829930124099E-4</v>
      </c>
      <c r="V27">
        <v>123892.54795627799</v>
      </c>
      <c r="W27">
        <v>1.9260463318137899</v>
      </c>
      <c r="Y27">
        <v>364</v>
      </c>
      <c r="Z27" s="2" t="s">
        <v>100</v>
      </c>
      <c r="AA27">
        <v>1</v>
      </c>
      <c r="AB27">
        <v>19791411545000</v>
      </c>
      <c r="AC27">
        <v>41500566100</v>
      </c>
      <c r="AD27">
        <v>1785501474.24</v>
      </c>
      <c r="AE27">
        <v>599968175</v>
      </c>
      <c r="AF27">
        <v>2.0968977379728299E-3</v>
      </c>
      <c r="AG27" s="1">
        <v>9.0215974246216906E-5</v>
      </c>
      <c r="AH27">
        <v>32987.435616897499</v>
      </c>
      <c r="AI27">
        <v>0.77849131406467498</v>
      </c>
      <c r="AK27" t="s">
        <v>298</v>
      </c>
    </row>
    <row r="28" spans="1:37" x14ac:dyDescent="0.4">
      <c r="A28">
        <v>1019</v>
      </c>
      <c r="B28" t="s">
        <v>36</v>
      </c>
      <c r="C28">
        <v>3</v>
      </c>
      <c r="D28">
        <v>255093696900</v>
      </c>
      <c r="E28">
        <v>425031664</v>
      </c>
      <c r="F28">
        <v>53281277.5</v>
      </c>
      <c r="G28">
        <v>5658394</v>
      </c>
      <c r="H28">
        <v>1.6661786205035699E-3</v>
      </c>
      <c r="I28">
        <v>2.0886943953337601E-4</v>
      </c>
      <c r="J28">
        <v>45082.349673776604</v>
      </c>
      <c r="K28">
        <v>1.8460361258592699</v>
      </c>
      <c r="M28">
        <v>1069</v>
      </c>
      <c r="N28" t="s">
        <v>45</v>
      </c>
      <c r="O28">
        <v>2</v>
      </c>
      <c r="P28">
        <v>380373000000</v>
      </c>
      <c r="Q28">
        <v>753074771</v>
      </c>
      <c r="R28">
        <v>63772962.640000001</v>
      </c>
      <c r="S28">
        <v>8286143</v>
      </c>
      <c r="T28">
        <v>1.9798323514024301E-3</v>
      </c>
      <c r="U28">
        <v>1.6765901533494701E-4</v>
      </c>
      <c r="V28">
        <v>45904.711033830798</v>
      </c>
      <c r="W28">
        <v>1.92498551375176</v>
      </c>
      <c r="Y28">
        <v>962</v>
      </c>
      <c r="Z28" s="2" t="s">
        <v>105</v>
      </c>
      <c r="AA28">
        <v>1</v>
      </c>
      <c r="AB28">
        <v>19039113418050</v>
      </c>
      <c r="AC28">
        <v>30467514000</v>
      </c>
      <c r="AD28">
        <v>2518817736.4099998</v>
      </c>
      <c r="AE28">
        <v>569039504</v>
      </c>
      <c r="AF28">
        <v>1.6002590735719501E-3</v>
      </c>
      <c r="AG28">
        <v>1.32297007801951E-4</v>
      </c>
      <c r="AH28">
        <v>33458.333356852498</v>
      </c>
      <c r="AI28">
        <v>0.72748883310031298</v>
      </c>
      <c r="AK28" t="s">
        <v>299</v>
      </c>
    </row>
    <row r="29" spans="1:37" x14ac:dyDescent="0.4">
      <c r="A29">
        <v>317</v>
      </c>
      <c r="B29" t="s">
        <v>37</v>
      </c>
      <c r="C29">
        <v>2</v>
      </c>
      <c r="D29">
        <v>407530012500</v>
      </c>
      <c r="E29">
        <v>1242731845</v>
      </c>
      <c r="F29">
        <v>33325000</v>
      </c>
      <c r="G29">
        <v>8908513</v>
      </c>
      <c r="H29">
        <v>3.0494241083655099E-3</v>
      </c>
      <c r="I29" s="1">
        <v>8.1773118489033897E-5</v>
      </c>
      <c r="J29">
        <v>45746.132098589202</v>
      </c>
      <c r="K29">
        <v>1.84171685194923</v>
      </c>
      <c r="M29">
        <v>553</v>
      </c>
      <c r="N29" t="s">
        <v>39</v>
      </c>
      <c r="O29">
        <v>1</v>
      </c>
      <c r="P29">
        <v>4003444563600</v>
      </c>
      <c r="Q29">
        <v>4982443783</v>
      </c>
      <c r="R29">
        <v>688472658.71000004</v>
      </c>
      <c r="S29">
        <v>24290936</v>
      </c>
      <c r="T29">
        <v>1.24453922212417E-3</v>
      </c>
      <c r="U29">
        <v>1.71970074213019E-4</v>
      </c>
      <c r="V29">
        <v>164812.28074537701</v>
      </c>
      <c r="W29">
        <v>1.9034095818266601</v>
      </c>
      <c r="Y29">
        <v>600</v>
      </c>
      <c r="Z29" s="2" t="s">
        <v>102</v>
      </c>
      <c r="AA29">
        <v>1</v>
      </c>
      <c r="AB29">
        <v>10214074862000</v>
      </c>
      <c r="AC29">
        <v>8207779513</v>
      </c>
      <c r="AD29">
        <v>1601147239.73</v>
      </c>
      <c r="AE29">
        <v>84230078</v>
      </c>
      <c r="AF29">
        <v>8.0357542155245598E-4</v>
      </c>
      <c r="AG29">
        <v>1.5675890977525901E-4</v>
      </c>
      <c r="AH29">
        <v>121263.98436909899</v>
      </c>
      <c r="AI29">
        <v>0.68261063934310995</v>
      </c>
      <c r="AK29" t="s">
        <v>300</v>
      </c>
    </row>
    <row r="30" spans="1:37" x14ac:dyDescent="0.4">
      <c r="A30">
        <v>745</v>
      </c>
      <c r="B30" t="s">
        <v>38</v>
      </c>
      <c r="C30">
        <v>2</v>
      </c>
      <c r="D30">
        <v>454000000000</v>
      </c>
      <c r="E30">
        <v>269258032</v>
      </c>
      <c r="F30">
        <v>123574130.75</v>
      </c>
      <c r="G30">
        <v>4800000</v>
      </c>
      <c r="H30">
        <v>5.9307936563876595E-4</v>
      </c>
      <c r="I30">
        <v>2.7218971530836998E-4</v>
      </c>
      <c r="J30">
        <v>94583.333333333299</v>
      </c>
      <c r="K30">
        <v>1.7407168596045499</v>
      </c>
      <c r="M30">
        <v>820</v>
      </c>
      <c r="N30" t="s">
        <v>41</v>
      </c>
      <c r="O30">
        <v>2</v>
      </c>
      <c r="P30">
        <v>973605588900</v>
      </c>
      <c r="Q30">
        <v>894728821</v>
      </c>
      <c r="R30">
        <v>201825000</v>
      </c>
      <c r="S30">
        <v>6489993</v>
      </c>
      <c r="T30">
        <v>9.1898488587240199E-4</v>
      </c>
      <c r="U30">
        <v>2.0729646820128199E-4</v>
      </c>
      <c r="V30">
        <v>150016.43128120399</v>
      </c>
      <c r="W30">
        <v>1.8975539373463901</v>
      </c>
      <c r="Y30">
        <v>73</v>
      </c>
      <c r="Z30" t="s">
        <v>101</v>
      </c>
      <c r="AA30">
        <v>1</v>
      </c>
      <c r="AB30">
        <v>5608537601800</v>
      </c>
      <c r="AC30">
        <v>3679353019</v>
      </c>
      <c r="AD30">
        <v>835693055.55999994</v>
      </c>
      <c r="AE30">
        <v>35318944</v>
      </c>
      <c r="AF30">
        <v>6.5602716433944396E-4</v>
      </c>
      <c r="AG30">
        <v>1.4900373589218501E-4</v>
      </c>
      <c r="AH30">
        <v>158796.86555181199</v>
      </c>
      <c r="AI30">
        <v>0.65521146804546404</v>
      </c>
      <c r="AK30" t="s">
        <v>301</v>
      </c>
    </row>
    <row r="31" spans="1:37" x14ac:dyDescent="0.4">
      <c r="A31">
        <v>553</v>
      </c>
      <c r="B31" t="s">
        <v>39</v>
      </c>
      <c r="C31">
        <v>1</v>
      </c>
      <c r="D31">
        <v>4003444563600</v>
      </c>
      <c r="E31">
        <v>4982443783</v>
      </c>
      <c r="F31">
        <v>688472658.71000004</v>
      </c>
      <c r="G31">
        <v>24290936</v>
      </c>
      <c r="H31">
        <v>1.24453922212417E-3</v>
      </c>
      <c r="I31">
        <v>1.71970074213019E-4</v>
      </c>
      <c r="J31">
        <v>164812.28074537701</v>
      </c>
      <c r="K31">
        <v>1.7312063084952201</v>
      </c>
      <c r="M31">
        <v>357</v>
      </c>
      <c r="N31" t="s">
        <v>48</v>
      </c>
      <c r="O31">
        <v>1</v>
      </c>
      <c r="P31">
        <v>36570999809500</v>
      </c>
      <c r="Q31">
        <v>64228955000</v>
      </c>
      <c r="R31">
        <v>6806137767.8999996</v>
      </c>
      <c r="S31">
        <v>828254487</v>
      </c>
      <c r="T31">
        <v>1.75628107884858E-3</v>
      </c>
      <c r="U31">
        <v>1.8610751150784701E-4</v>
      </c>
      <c r="V31">
        <v>44154.303276958803</v>
      </c>
      <c r="W31">
        <v>1.89212446172461</v>
      </c>
      <c r="Y31">
        <v>1108</v>
      </c>
      <c r="Z31" s="2" t="s">
        <v>111</v>
      </c>
      <c r="AA31">
        <v>1</v>
      </c>
      <c r="AB31">
        <v>4390441492500</v>
      </c>
      <c r="AC31">
        <v>7356945081</v>
      </c>
      <c r="AD31">
        <v>353904180.05000001</v>
      </c>
      <c r="AE31">
        <v>41796270</v>
      </c>
      <c r="AF31">
        <v>1.6756731853886501E-3</v>
      </c>
      <c r="AG31" s="1">
        <v>8.0607879789437804E-5</v>
      </c>
      <c r="AH31">
        <v>105043.85899746499</v>
      </c>
      <c r="AI31">
        <v>0.60872939554369998</v>
      </c>
      <c r="AK31" t="s">
        <v>302</v>
      </c>
    </row>
    <row r="32" spans="1:37" x14ac:dyDescent="0.4">
      <c r="A32">
        <v>584</v>
      </c>
      <c r="B32" t="s">
        <v>40</v>
      </c>
      <c r="C32">
        <v>3</v>
      </c>
      <c r="D32">
        <v>279712484100</v>
      </c>
      <c r="E32">
        <v>382012631</v>
      </c>
      <c r="F32">
        <v>57875000</v>
      </c>
      <c r="G32">
        <v>3472481</v>
      </c>
      <c r="H32">
        <v>1.36573321791181E-3</v>
      </c>
      <c r="I32">
        <v>2.0690889141476099E-4</v>
      </c>
      <c r="J32">
        <v>80551.192101555003</v>
      </c>
      <c r="K32">
        <v>1.69787465604753</v>
      </c>
      <c r="M32">
        <v>245</v>
      </c>
      <c r="N32" t="s">
        <v>53</v>
      </c>
      <c r="O32">
        <v>2</v>
      </c>
      <c r="P32">
        <v>804800700000</v>
      </c>
      <c r="Q32">
        <v>1739637871</v>
      </c>
      <c r="R32">
        <v>111250000</v>
      </c>
      <c r="S32">
        <v>20335117</v>
      </c>
      <c r="T32">
        <v>2.1615759914224699E-3</v>
      </c>
      <c r="U32">
        <v>1.38232981159186E-4</v>
      </c>
      <c r="V32">
        <v>39576.890558337996</v>
      </c>
      <c r="W32">
        <v>1.6364810547698101</v>
      </c>
      <c r="Y32">
        <v>991</v>
      </c>
      <c r="Z32" s="2" t="s">
        <v>133</v>
      </c>
      <c r="AA32">
        <v>1</v>
      </c>
      <c r="AB32">
        <v>2405866859550</v>
      </c>
      <c r="AC32">
        <v>3222417310</v>
      </c>
      <c r="AD32">
        <v>297015140.12</v>
      </c>
      <c r="AE32">
        <v>52738513</v>
      </c>
      <c r="AF32">
        <v>1.3393996834067199E-3</v>
      </c>
      <c r="AG32">
        <v>1.23454520744158E-4</v>
      </c>
      <c r="AH32">
        <v>45618.784502892602</v>
      </c>
      <c r="AI32">
        <v>0.30735641970635103</v>
      </c>
      <c r="AK32" t="s">
        <v>303</v>
      </c>
    </row>
    <row r="33" spans="1:37" x14ac:dyDescent="0.4">
      <c r="A33">
        <v>820</v>
      </c>
      <c r="B33" t="s">
        <v>41</v>
      </c>
      <c r="C33">
        <v>2</v>
      </c>
      <c r="D33">
        <v>973605588900</v>
      </c>
      <c r="E33">
        <v>894728821</v>
      </c>
      <c r="F33">
        <v>201825000</v>
      </c>
      <c r="G33">
        <v>6489993</v>
      </c>
      <c r="H33">
        <v>9.1898488587240199E-4</v>
      </c>
      <c r="I33">
        <v>2.0729646820128199E-4</v>
      </c>
      <c r="J33">
        <v>150016.43128120399</v>
      </c>
      <c r="K33">
        <v>1.6847897635776401</v>
      </c>
      <c r="M33">
        <v>166</v>
      </c>
      <c r="N33" t="s">
        <v>52</v>
      </c>
      <c r="O33">
        <v>2</v>
      </c>
      <c r="P33">
        <v>331697971200</v>
      </c>
      <c r="Q33">
        <v>806943259</v>
      </c>
      <c r="R33">
        <v>32633333.329999998</v>
      </c>
      <c r="S33">
        <v>4721378</v>
      </c>
      <c r="T33">
        <v>2.4327651329330699E-3</v>
      </c>
      <c r="U33" s="1">
        <v>9.8382673888359294E-5</v>
      </c>
      <c r="V33">
        <v>70254.483161483702</v>
      </c>
      <c r="W33">
        <v>1.61738059233083</v>
      </c>
      <c r="Y33">
        <v>1079</v>
      </c>
      <c r="Z33" t="s">
        <v>123</v>
      </c>
      <c r="AA33">
        <v>1</v>
      </c>
      <c r="AB33">
        <v>1641739889400</v>
      </c>
      <c r="AC33">
        <v>1198802546</v>
      </c>
      <c r="AD33">
        <v>174638866.38999999</v>
      </c>
      <c r="AE33">
        <v>8862236</v>
      </c>
      <c r="AF33">
        <v>7.3020248441311899E-4</v>
      </c>
      <c r="AG33">
        <v>1.06374260330498E-4</v>
      </c>
      <c r="AH33">
        <v>185251.20403022401</v>
      </c>
      <c r="AI33">
        <v>0.304717961144852</v>
      </c>
      <c r="AK33" t="s">
        <v>304</v>
      </c>
    </row>
    <row r="34" spans="1:37" x14ac:dyDescent="0.4">
      <c r="A34">
        <v>433</v>
      </c>
      <c r="B34" t="s">
        <v>42</v>
      </c>
      <c r="C34">
        <v>2</v>
      </c>
      <c r="D34">
        <v>798827928300</v>
      </c>
      <c r="E34">
        <v>594724900</v>
      </c>
      <c r="F34">
        <v>189336837</v>
      </c>
      <c r="G34">
        <v>6447748</v>
      </c>
      <c r="H34">
        <v>7.4449687965422596E-4</v>
      </c>
      <c r="I34">
        <v>2.3701829930124099E-4</v>
      </c>
      <c r="J34">
        <v>123892.54795627799</v>
      </c>
      <c r="K34">
        <v>1.66645253369972</v>
      </c>
      <c r="M34">
        <v>819</v>
      </c>
      <c r="N34" t="s">
        <v>51</v>
      </c>
      <c r="O34">
        <v>1</v>
      </c>
      <c r="P34">
        <v>6502869198000</v>
      </c>
      <c r="Q34">
        <v>16253054384</v>
      </c>
      <c r="R34">
        <v>470133014.98000002</v>
      </c>
      <c r="S34">
        <v>59104408</v>
      </c>
      <c r="T34">
        <v>2.49936664710997E-3</v>
      </c>
      <c r="U34" s="1">
        <v>7.2296243498883898E-5</v>
      </c>
      <c r="V34">
        <v>110023.421569504</v>
      </c>
      <c r="W34">
        <v>1.60526703644411</v>
      </c>
      <c r="Y34">
        <v>648</v>
      </c>
      <c r="Z34" s="2" t="s">
        <v>137</v>
      </c>
      <c r="AA34">
        <v>1</v>
      </c>
      <c r="AB34">
        <v>26769562325000</v>
      </c>
      <c r="AC34">
        <v>26861222000</v>
      </c>
      <c r="AD34">
        <v>3468701979.8200002</v>
      </c>
      <c r="AE34">
        <v>330973328</v>
      </c>
      <c r="AF34">
        <v>1.00342402590999E-3</v>
      </c>
      <c r="AG34">
        <v>1.2957634262778301E-4</v>
      </c>
      <c r="AH34">
        <v>80881.328071849901</v>
      </c>
      <c r="AI34">
        <v>0.20709923499105101</v>
      </c>
      <c r="AK34" t="s">
        <v>305</v>
      </c>
    </row>
    <row r="35" spans="1:37" x14ac:dyDescent="0.4">
      <c r="A35">
        <v>993</v>
      </c>
      <c r="B35" t="s">
        <v>43</v>
      </c>
      <c r="C35">
        <v>2</v>
      </c>
      <c r="D35">
        <v>760723480800</v>
      </c>
      <c r="E35">
        <v>1784203625</v>
      </c>
      <c r="F35">
        <v>114600000</v>
      </c>
      <c r="G35">
        <v>41915053</v>
      </c>
      <c r="H35">
        <v>2.34540364538725E-3</v>
      </c>
      <c r="I35">
        <v>1.5064606639916399E-4</v>
      </c>
      <c r="J35">
        <v>18149.171391957902</v>
      </c>
      <c r="K35">
        <v>1.66051437678822</v>
      </c>
      <c r="M35">
        <v>303</v>
      </c>
      <c r="N35" t="s">
        <v>49</v>
      </c>
      <c r="O35">
        <v>2</v>
      </c>
      <c r="P35">
        <v>502800000000</v>
      </c>
      <c r="Q35">
        <v>338539000</v>
      </c>
      <c r="R35">
        <v>68950000</v>
      </c>
      <c r="S35">
        <v>1680000</v>
      </c>
      <c r="T35">
        <v>6.7330747812251396E-4</v>
      </c>
      <c r="U35">
        <v>1.37132060461416E-4</v>
      </c>
      <c r="V35">
        <v>299285.71428571403</v>
      </c>
      <c r="W35">
        <v>1.58493640936386</v>
      </c>
      <c r="Y35">
        <v>596</v>
      </c>
      <c r="Z35" t="s">
        <v>131</v>
      </c>
      <c r="AA35">
        <v>1</v>
      </c>
      <c r="AB35">
        <v>1853134478100</v>
      </c>
      <c r="AC35">
        <v>1685441625</v>
      </c>
      <c r="AD35">
        <v>114399844.11</v>
      </c>
      <c r="AE35">
        <v>8282577</v>
      </c>
      <c r="AF35">
        <v>9.0950853535900198E-4</v>
      </c>
      <c r="AG35" s="1">
        <v>6.1733158312014594E-5</v>
      </c>
      <c r="AH35">
        <v>223738.877175545</v>
      </c>
      <c r="AI35">
        <v>0.17521977333975899</v>
      </c>
      <c r="AK35" t="s">
        <v>306</v>
      </c>
    </row>
    <row r="36" spans="1:37" x14ac:dyDescent="0.4">
      <c r="A36">
        <v>180</v>
      </c>
      <c r="B36" t="s">
        <v>44</v>
      </c>
      <c r="C36">
        <v>2</v>
      </c>
      <c r="D36">
        <v>1635000000000</v>
      </c>
      <c r="E36">
        <v>2473371697.0799999</v>
      </c>
      <c r="F36">
        <v>323983788.23000002</v>
      </c>
      <c r="G36">
        <v>24000000</v>
      </c>
      <c r="H36">
        <v>1.5127655639633E-3</v>
      </c>
      <c r="I36">
        <v>1.9815522215902101E-4</v>
      </c>
      <c r="J36">
        <v>68125</v>
      </c>
      <c r="K36">
        <v>1.6591012297379499</v>
      </c>
      <c r="M36">
        <v>23</v>
      </c>
      <c r="N36" t="s">
        <v>59</v>
      </c>
      <c r="O36">
        <v>1</v>
      </c>
      <c r="P36">
        <v>17086065076050</v>
      </c>
      <c r="Q36">
        <v>25266207000</v>
      </c>
      <c r="R36">
        <v>3178486034.73</v>
      </c>
      <c r="S36">
        <v>441025000</v>
      </c>
      <c r="T36">
        <v>1.47876101885016E-3</v>
      </c>
      <c r="U36">
        <v>1.86027971951562E-4</v>
      </c>
      <c r="V36">
        <v>38741.715494699798</v>
      </c>
      <c r="W36">
        <v>1.4266850075436801</v>
      </c>
      <c r="Y36">
        <v>889</v>
      </c>
      <c r="Z36" s="2" t="s">
        <v>141</v>
      </c>
      <c r="AA36">
        <v>1</v>
      </c>
      <c r="AB36">
        <v>8329466675200</v>
      </c>
      <c r="AC36">
        <v>11122258000</v>
      </c>
      <c r="AD36">
        <v>850828869.42999995</v>
      </c>
      <c r="AE36">
        <v>122424900</v>
      </c>
      <c r="AF36">
        <v>1.3352905334401699E-3</v>
      </c>
      <c r="AG36">
        <v>1.02146860370213E-4</v>
      </c>
      <c r="AH36">
        <v>68037.357393798098</v>
      </c>
      <c r="AI36">
        <v>0.14832848311263699</v>
      </c>
      <c r="AK36" t="s">
        <v>307</v>
      </c>
    </row>
    <row r="37" spans="1:37" x14ac:dyDescent="0.4">
      <c r="A37">
        <v>1069</v>
      </c>
      <c r="B37" t="s">
        <v>45</v>
      </c>
      <c r="C37">
        <v>2</v>
      </c>
      <c r="D37">
        <v>380373000000</v>
      </c>
      <c r="E37">
        <v>753074771</v>
      </c>
      <c r="F37">
        <v>63772962.640000001</v>
      </c>
      <c r="G37">
        <v>8286143</v>
      </c>
      <c r="H37">
        <v>1.9798323514024301E-3</v>
      </c>
      <c r="I37">
        <v>1.6765901533494701E-4</v>
      </c>
      <c r="J37">
        <v>45904.711033830798</v>
      </c>
      <c r="K37">
        <v>1.6513693252867301</v>
      </c>
      <c r="M37">
        <v>1070</v>
      </c>
      <c r="N37" t="s">
        <v>61</v>
      </c>
      <c r="O37">
        <v>1</v>
      </c>
      <c r="P37">
        <v>14623411580050</v>
      </c>
      <c r="Q37">
        <v>29342327000</v>
      </c>
      <c r="R37">
        <v>2013229721.22</v>
      </c>
      <c r="S37">
        <v>378624659</v>
      </c>
      <c r="T37">
        <v>2.0065308864061701E-3</v>
      </c>
      <c r="U37">
        <v>1.3767168558440499E-4</v>
      </c>
      <c r="V37">
        <v>38622.4489938728</v>
      </c>
      <c r="W37">
        <v>1.3851225683380799</v>
      </c>
      <c r="Y37">
        <v>931</v>
      </c>
      <c r="Z37" t="s">
        <v>142</v>
      </c>
      <c r="AA37">
        <v>1</v>
      </c>
      <c r="AB37">
        <v>2600003565250</v>
      </c>
      <c r="AC37">
        <v>3556593738</v>
      </c>
      <c r="AD37">
        <v>260692186.66999999</v>
      </c>
      <c r="AE37">
        <v>39802356</v>
      </c>
      <c r="AF37">
        <v>1.36791879270289E-3</v>
      </c>
      <c r="AG37">
        <v>1.0026608815243399E-4</v>
      </c>
      <c r="AH37">
        <v>65322.8558945103</v>
      </c>
      <c r="AI37">
        <v>0.14349601492995401</v>
      </c>
      <c r="AK37" t="s">
        <v>308</v>
      </c>
    </row>
    <row r="38" spans="1:37" x14ac:dyDescent="0.4">
      <c r="A38">
        <v>918</v>
      </c>
      <c r="B38" t="s">
        <v>46</v>
      </c>
      <c r="C38">
        <v>1</v>
      </c>
      <c r="D38">
        <v>14992245054000</v>
      </c>
      <c r="E38">
        <v>12920284000</v>
      </c>
      <c r="F38">
        <v>3740881280.1300001</v>
      </c>
      <c r="G38">
        <v>189802813</v>
      </c>
      <c r="H38">
        <v>8.6179781303353197E-4</v>
      </c>
      <c r="I38">
        <v>2.4952108684562298E-4</v>
      </c>
      <c r="J38">
        <v>78988.529290132195</v>
      </c>
      <c r="K38">
        <v>1.6277572619441201</v>
      </c>
      <c r="M38">
        <v>194</v>
      </c>
      <c r="N38" t="s">
        <v>50</v>
      </c>
      <c r="O38">
        <v>1</v>
      </c>
      <c r="P38">
        <v>13645516681000</v>
      </c>
      <c r="Q38">
        <v>2738879989</v>
      </c>
      <c r="R38">
        <v>1097565017.8800001</v>
      </c>
      <c r="S38">
        <v>28954088</v>
      </c>
      <c r="T38">
        <v>2.00716473624894E-4</v>
      </c>
      <c r="U38" s="1">
        <v>8.0434112063213197E-5</v>
      </c>
      <c r="V38">
        <v>471281.17732459703</v>
      </c>
      <c r="W38">
        <v>1.3565231239048701</v>
      </c>
      <c r="Y38">
        <v>1116</v>
      </c>
      <c r="Z38" s="2" t="s">
        <v>139</v>
      </c>
      <c r="AA38">
        <v>1</v>
      </c>
      <c r="AB38">
        <v>7358179098600</v>
      </c>
      <c r="AC38">
        <v>5483825614</v>
      </c>
      <c r="AD38">
        <v>830817650</v>
      </c>
      <c r="AE38">
        <v>49541072</v>
      </c>
      <c r="AF38">
        <v>7.4526938533520798E-4</v>
      </c>
      <c r="AG38">
        <v>1.12910767578092E-4</v>
      </c>
      <c r="AH38">
        <v>148526.84452609299</v>
      </c>
      <c r="AI38">
        <v>0.12629921744337699</v>
      </c>
      <c r="AK38" t="s">
        <v>309</v>
      </c>
    </row>
    <row r="39" spans="1:37" x14ac:dyDescent="0.4">
      <c r="A39">
        <v>405</v>
      </c>
      <c r="B39" t="s">
        <v>47</v>
      </c>
      <c r="C39">
        <v>3</v>
      </c>
      <c r="D39">
        <v>173489588160</v>
      </c>
      <c r="E39">
        <v>326038000</v>
      </c>
      <c r="F39">
        <v>27200000</v>
      </c>
      <c r="G39">
        <v>2212877</v>
      </c>
      <c r="H39">
        <v>1.87929433378626E-3</v>
      </c>
      <c r="I39">
        <v>1.5678174286121901E-4</v>
      </c>
      <c r="J39">
        <v>78400.0141715965</v>
      </c>
      <c r="K39">
        <v>1.6267818808591901</v>
      </c>
      <c r="M39">
        <v>307</v>
      </c>
      <c r="N39" t="s">
        <v>58</v>
      </c>
      <c r="O39">
        <v>2</v>
      </c>
      <c r="P39">
        <v>518700000000</v>
      </c>
      <c r="Q39">
        <v>788386642</v>
      </c>
      <c r="R39">
        <v>74575000</v>
      </c>
      <c r="S39">
        <v>4810112</v>
      </c>
      <c r="T39">
        <v>1.5199279776363899E-3</v>
      </c>
      <c r="U39">
        <v>1.4377289377289301E-4</v>
      </c>
      <c r="V39">
        <v>107835.32691130599</v>
      </c>
      <c r="W39">
        <v>1.34634412388919</v>
      </c>
      <c r="Y39">
        <v>1049</v>
      </c>
      <c r="Z39" s="2" t="s">
        <v>152</v>
      </c>
      <c r="AA39">
        <v>1</v>
      </c>
      <c r="AB39">
        <v>15049791574400</v>
      </c>
      <c r="AC39">
        <v>16564065033</v>
      </c>
      <c r="AD39">
        <v>2056659396.45</v>
      </c>
      <c r="AE39">
        <v>441333115</v>
      </c>
      <c r="AF39">
        <v>1.1006175700915199E-3</v>
      </c>
      <c r="AG39">
        <v>1.3665700194469201E-4</v>
      </c>
      <c r="AH39">
        <v>34100.753065855897</v>
      </c>
      <c r="AI39">
        <v>7.3730528089078207E-2</v>
      </c>
      <c r="AK39" t="s">
        <v>310</v>
      </c>
    </row>
    <row r="40" spans="1:37" x14ac:dyDescent="0.4">
      <c r="A40">
        <v>357</v>
      </c>
      <c r="B40" t="s">
        <v>48</v>
      </c>
      <c r="C40">
        <v>1</v>
      </c>
      <c r="D40">
        <v>36570999809500</v>
      </c>
      <c r="E40">
        <v>64228955000</v>
      </c>
      <c r="F40">
        <v>6806137767.8999996</v>
      </c>
      <c r="G40">
        <v>828254487</v>
      </c>
      <c r="H40">
        <v>1.75628107884858E-3</v>
      </c>
      <c r="I40">
        <v>1.8610751150784701E-4</v>
      </c>
      <c r="J40">
        <v>44154.303276958803</v>
      </c>
      <c r="K40">
        <v>1.6031980476015399</v>
      </c>
      <c r="M40">
        <v>932</v>
      </c>
      <c r="N40" t="s">
        <v>56</v>
      </c>
      <c r="O40">
        <v>2</v>
      </c>
      <c r="P40">
        <v>415200000000</v>
      </c>
      <c r="Q40">
        <v>511287520</v>
      </c>
      <c r="R40">
        <v>48800000</v>
      </c>
      <c r="S40">
        <v>2000000</v>
      </c>
      <c r="T40">
        <v>1.2314246628131E-3</v>
      </c>
      <c r="U40">
        <v>1.1753371868978799E-4</v>
      </c>
      <c r="V40">
        <v>207600</v>
      </c>
      <c r="W40">
        <v>1.3070609187540401</v>
      </c>
      <c r="Y40">
        <v>432</v>
      </c>
      <c r="Z40" s="2" t="s">
        <v>154</v>
      </c>
      <c r="AA40">
        <v>1</v>
      </c>
      <c r="AB40">
        <v>2632047248710</v>
      </c>
      <c r="AC40">
        <v>4391739000</v>
      </c>
      <c r="AD40">
        <v>226350000</v>
      </c>
      <c r="AE40">
        <v>106557713</v>
      </c>
      <c r="AF40">
        <v>1.66856389153061E-3</v>
      </c>
      <c r="AG40" s="1">
        <v>8.5997696322107E-5</v>
      </c>
      <c r="AH40">
        <v>24700.673227755899</v>
      </c>
      <c r="AI40">
        <v>1.82947389656309E-2</v>
      </c>
      <c r="AK40" t="s">
        <v>311</v>
      </c>
    </row>
    <row r="41" spans="1:37" x14ac:dyDescent="0.4">
      <c r="A41">
        <v>303</v>
      </c>
      <c r="B41" t="s">
        <v>49</v>
      </c>
      <c r="C41">
        <v>2</v>
      </c>
      <c r="D41">
        <v>502800000000</v>
      </c>
      <c r="E41">
        <v>338539000</v>
      </c>
      <c r="F41">
        <v>68950000</v>
      </c>
      <c r="G41">
        <v>1680000</v>
      </c>
      <c r="H41">
        <v>6.7330747812251396E-4</v>
      </c>
      <c r="I41">
        <v>1.37132060461416E-4</v>
      </c>
      <c r="J41">
        <v>299285.71428571403</v>
      </c>
      <c r="K41">
        <v>1.5647565495044</v>
      </c>
      <c r="M41">
        <v>1121</v>
      </c>
      <c r="N41" t="s">
        <v>55</v>
      </c>
      <c r="O41">
        <v>2</v>
      </c>
      <c r="P41">
        <v>1112311475700</v>
      </c>
      <c r="Q41">
        <v>1280008464</v>
      </c>
      <c r="R41">
        <v>97459375</v>
      </c>
      <c r="S41">
        <v>3957993</v>
      </c>
      <c r="T41">
        <v>1.1507644144320801E-3</v>
      </c>
      <c r="U41" s="1">
        <v>8.7618780466745404E-5</v>
      </c>
      <c r="V41">
        <v>281029.166979325</v>
      </c>
      <c r="W41">
        <v>1.2933120694364899</v>
      </c>
      <c r="Y41">
        <v>391</v>
      </c>
      <c r="Z41" s="2" t="s">
        <v>156</v>
      </c>
      <c r="AA41">
        <v>1</v>
      </c>
      <c r="AB41">
        <v>2936799830990</v>
      </c>
      <c r="AC41">
        <v>4574589000</v>
      </c>
      <c r="AD41">
        <v>277106487.06</v>
      </c>
      <c r="AE41">
        <v>112184801</v>
      </c>
      <c r="AF41">
        <v>1.55767817463333E-3</v>
      </c>
      <c r="AG41" s="1">
        <v>9.4356613663583195E-5</v>
      </c>
      <c r="AH41">
        <v>26178.232744647801</v>
      </c>
      <c r="AI41">
        <v>1.79685354582137E-3</v>
      </c>
      <c r="AK41" t="s">
        <v>312</v>
      </c>
    </row>
    <row r="42" spans="1:37" x14ac:dyDescent="0.4">
      <c r="A42">
        <v>194</v>
      </c>
      <c r="B42" t="s">
        <v>50</v>
      </c>
      <c r="C42">
        <v>1</v>
      </c>
      <c r="D42">
        <v>13645516681000</v>
      </c>
      <c r="E42">
        <v>2738879989</v>
      </c>
      <c r="F42">
        <v>1097565017.8800001</v>
      </c>
      <c r="G42">
        <v>28954088</v>
      </c>
      <c r="H42">
        <v>2.00716473624894E-4</v>
      </c>
      <c r="I42" s="1">
        <v>8.0434112063213197E-5</v>
      </c>
      <c r="J42">
        <v>471281.17732459703</v>
      </c>
      <c r="K42">
        <v>1.53653617904732</v>
      </c>
      <c r="M42">
        <v>989</v>
      </c>
      <c r="N42" t="s">
        <v>62</v>
      </c>
      <c r="O42">
        <v>1</v>
      </c>
      <c r="P42">
        <v>2773189258500</v>
      </c>
      <c r="Q42">
        <v>3557258380</v>
      </c>
      <c r="R42">
        <v>346670002.82999998</v>
      </c>
      <c r="S42">
        <v>15953830</v>
      </c>
      <c r="T42">
        <v>1.2827319192502901E-3</v>
      </c>
      <c r="U42">
        <v>1.25007697100886E-4</v>
      </c>
      <c r="V42">
        <v>173825.92509134099</v>
      </c>
      <c r="W42">
        <v>1.22618119692092</v>
      </c>
      <c r="Y42">
        <v>246</v>
      </c>
      <c r="Z42" s="2" t="s">
        <v>157</v>
      </c>
      <c r="AA42">
        <v>1</v>
      </c>
      <c r="AB42">
        <v>11300845334250</v>
      </c>
      <c r="AC42">
        <v>13387594000</v>
      </c>
      <c r="AD42">
        <v>1295227569.1400001</v>
      </c>
      <c r="AE42">
        <v>224202345</v>
      </c>
      <c r="AF42">
        <v>1.18465420984265E-3</v>
      </c>
      <c r="AG42">
        <v>1.14613334740056E-4</v>
      </c>
      <c r="AH42">
        <v>50404.670541024003</v>
      </c>
      <c r="AI42">
        <v>-1.91657761445263E-2</v>
      </c>
      <c r="AK42" t="s">
        <v>313</v>
      </c>
    </row>
    <row r="43" spans="1:37" x14ac:dyDescent="0.4">
      <c r="A43">
        <v>819</v>
      </c>
      <c r="B43" t="s">
        <v>51</v>
      </c>
      <c r="C43">
        <v>1</v>
      </c>
      <c r="D43">
        <v>6502869198000</v>
      </c>
      <c r="E43">
        <v>16253054384</v>
      </c>
      <c r="F43">
        <v>470133014.98000002</v>
      </c>
      <c r="G43">
        <v>59104408</v>
      </c>
      <c r="H43">
        <v>2.49936664710997E-3</v>
      </c>
      <c r="I43" s="1">
        <v>7.2296243498883898E-5</v>
      </c>
      <c r="J43">
        <v>110023.421569504</v>
      </c>
      <c r="K43">
        <v>1.46942607413197</v>
      </c>
      <c r="M43">
        <v>52</v>
      </c>
      <c r="N43" t="s">
        <v>68</v>
      </c>
      <c r="O43">
        <v>1</v>
      </c>
      <c r="P43">
        <v>4375320465850</v>
      </c>
      <c r="Q43">
        <v>6006117000</v>
      </c>
      <c r="R43">
        <v>716960948.51999998</v>
      </c>
      <c r="S43">
        <v>55677883</v>
      </c>
      <c r="T43">
        <v>1.3727261915735299E-3</v>
      </c>
      <c r="U43">
        <v>1.63864785246242E-4</v>
      </c>
      <c r="V43">
        <v>78582.737527035599</v>
      </c>
      <c r="W43">
        <v>1.2229332612052899</v>
      </c>
      <c r="Y43">
        <v>419</v>
      </c>
      <c r="Z43" t="s">
        <v>158</v>
      </c>
      <c r="AA43">
        <v>1</v>
      </c>
      <c r="AB43">
        <v>6680833573600</v>
      </c>
      <c r="AC43">
        <v>10949600986</v>
      </c>
      <c r="AD43">
        <v>308329940.22000003</v>
      </c>
      <c r="AE43">
        <v>68728639</v>
      </c>
      <c r="AF43">
        <v>1.6389573045597801E-3</v>
      </c>
      <c r="AG43" s="1">
        <v>4.61514176072874E-5</v>
      </c>
      <c r="AH43">
        <v>97205.963493617193</v>
      </c>
      <c r="AI43">
        <v>-5.76366728006786E-2</v>
      </c>
      <c r="AK43" t="s">
        <v>314</v>
      </c>
    </row>
    <row r="44" spans="1:37" x14ac:dyDescent="0.4">
      <c r="A44">
        <v>166</v>
      </c>
      <c r="B44" t="s">
        <v>52</v>
      </c>
      <c r="C44">
        <v>2</v>
      </c>
      <c r="D44">
        <v>331697971200</v>
      </c>
      <c r="E44">
        <v>806943259</v>
      </c>
      <c r="F44">
        <v>32633333.329999998</v>
      </c>
      <c r="G44">
        <v>4721378</v>
      </c>
      <c r="H44">
        <v>2.4327651329330699E-3</v>
      </c>
      <c r="I44" s="1">
        <v>9.8382673888359294E-5</v>
      </c>
      <c r="J44">
        <v>70254.483161483702</v>
      </c>
      <c r="K44">
        <v>1.42593239987359</v>
      </c>
      <c r="M44">
        <v>994</v>
      </c>
      <c r="N44" t="s">
        <v>65</v>
      </c>
      <c r="O44">
        <v>2</v>
      </c>
      <c r="P44">
        <v>1045821641600</v>
      </c>
      <c r="Q44">
        <v>1818974725</v>
      </c>
      <c r="R44">
        <v>123766155.83</v>
      </c>
      <c r="S44">
        <v>10151316</v>
      </c>
      <c r="T44">
        <v>1.7392781451884599E-3</v>
      </c>
      <c r="U44">
        <v>1.18343464035273E-4</v>
      </c>
      <c r="V44">
        <v>103023.257437754</v>
      </c>
      <c r="W44">
        <v>1.1964341227964099</v>
      </c>
      <c r="Y44">
        <v>783</v>
      </c>
      <c r="Z44" t="s">
        <v>147</v>
      </c>
      <c r="AA44">
        <v>1</v>
      </c>
      <c r="AB44">
        <v>11916181200000</v>
      </c>
      <c r="AC44">
        <v>4787042075</v>
      </c>
      <c r="AD44">
        <v>568171938.03999996</v>
      </c>
      <c r="AE44">
        <v>38675093</v>
      </c>
      <c r="AF44">
        <v>4.0172619018247202E-4</v>
      </c>
      <c r="AG44" s="1">
        <v>4.7680706469955301E-5</v>
      </c>
      <c r="AH44">
        <v>308109.95593468897</v>
      </c>
      <c r="AI44">
        <v>-8.9354241664732798E-2</v>
      </c>
      <c r="AK44" t="s">
        <v>315</v>
      </c>
    </row>
    <row r="45" spans="1:37" x14ac:dyDescent="0.4">
      <c r="A45">
        <v>245</v>
      </c>
      <c r="B45" t="s">
        <v>53</v>
      </c>
      <c r="C45">
        <v>2</v>
      </c>
      <c r="D45">
        <v>804800700000</v>
      </c>
      <c r="E45">
        <v>1739637871</v>
      </c>
      <c r="F45">
        <v>111250000</v>
      </c>
      <c r="G45">
        <v>20335117</v>
      </c>
      <c r="H45">
        <v>2.1615759914224699E-3</v>
      </c>
      <c r="I45">
        <v>1.38232981159186E-4</v>
      </c>
      <c r="J45">
        <v>39576.890558337996</v>
      </c>
      <c r="K45">
        <v>1.3864630184399001</v>
      </c>
      <c r="M45">
        <v>385</v>
      </c>
      <c r="N45" t="s">
        <v>70</v>
      </c>
      <c r="O45">
        <v>2</v>
      </c>
      <c r="P45">
        <v>557080730500</v>
      </c>
      <c r="Q45">
        <v>825558854</v>
      </c>
      <c r="R45">
        <v>88935853.670000002</v>
      </c>
      <c r="S45">
        <v>8804923</v>
      </c>
      <c r="T45">
        <v>1.4819375519577399E-3</v>
      </c>
      <c r="U45">
        <v>1.59646257356948E-4</v>
      </c>
      <c r="V45">
        <v>63269.233643496897</v>
      </c>
      <c r="W45">
        <v>1.18428183178124</v>
      </c>
      <c r="Y45">
        <v>352</v>
      </c>
      <c r="Z45" s="2" t="s">
        <v>153</v>
      </c>
      <c r="AA45">
        <v>1</v>
      </c>
      <c r="AB45">
        <v>2068204800000</v>
      </c>
      <c r="AC45">
        <v>2336924681</v>
      </c>
      <c r="AD45">
        <v>94545130.840000004</v>
      </c>
      <c r="AE45">
        <v>11382268</v>
      </c>
      <c r="AF45">
        <v>1.1299290481290799E-3</v>
      </c>
      <c r="AG45" s="1">
        <v>4.5713621223584802E-5</v>
      </c>
      <c r="AH45">
        <v>181704.103259561</v>
      </c>
      <c r="AI45">
        <v>-0.10648853308473299</v>
      </c>
      <c r="AK45" t="s">
        <v>316</v>
      </c>
    </row>
    <row r="46" spans="1:37" x14ac:dyDescent="0.4">
      <c r="A46">
        <v>382</v>
      </c>
      <c r="B46" t="s">
        <v>54</v>
      </c>
      <c r="C46">
        <v>3</v>
      </c>
      <c r="D46">
        <v>355716581800</v>
      </c>
      <c r="E46">
        <v>597646265</v>
      </c>
      <c r="F46">
        <v>61900000</v>
      </c>
      <c r="G46">
        <v>7790334</v>
      </c>
      <c r="H46">
        <v>1.6801192173156001E-3</v>
      </c>
      <c r="I46">
        <v>1.7401494101504299E-4</v>
      </c>
      <c r="J46">
        <v>45661.274831091898</v>
      </c>
      <c r="K46">
        <v>1.3097079630319599</v>
      </c>
      <c r="M46">
        <v>1016</v>
      </c>
      <c r="N46" t="s">
        <v>72</v>
      </c>
      <c r="O46">
        <v>2</v>
      </c>
      <c r="P46">
        <v>1220946626500</v>
      </c>
      <c r="Q46">
        <v>2242219486.9899998</v>
      </c>
      <c r="R46">
        <v>182784467.47</v>
      </c>
      <c r="S46">
        <v>63284882</v>
      </c>
      <c r="T46">
        <v>1.8364598732850501E-3</v>
      </c>
      <c r="U46">
        <v>1.49707172699248E-4</v>
      </c>
      <c r="V46">
        <v>19292.8640761311</v>
      </c>
      <c r="W46">
        <v>1.17247342185218</v>
      </c>
      <c r="Y46">
        <v>324</v>
      </c>
      <c r="Z46" s="2" t="s">
        <v>161</v>
      </c>
      <c r="AA46">
        <v>1</v>
      </c>
      <c r="AB46">
        <v>4565269150000</v>
      </c>
      <c r="AC46">
        <v>3408732262</v>
      </c>
      <c r="AD46">
        <v>705045768.53999996</v>
      </c>
      <c r="AE46">
        <v>116440114</v>
      </c>
      <c r="AF46">
        <v>7.4666622054474002E-4</v>
      </c>
      <c r="AG46">
        <v>1.5443684597215901E-4</v>
      </c>
      <c r="AH46">
        <v>39207.013744421398</v>
      </c>
      <c r="AI46">
        <v>-0.117253060361397</v>
      </c>
      <c r="AK46" t="s">
        <v>317</v>
      </c>
    </row>
    <row r="47" spans="1:37" x14ac:dyDescent="0.4">
      <c r="A47">
        <v>1121</v>
      </c>
      <c r="B47" t="s">
        <v>55</v>
      </c>
      <c r="C47">
        <v>2</v>
      </c>
      <c r="D47">
        <v>1112311475700</v>
      </c>
      <c r="E47">
        <v>1280008464</v>
      </c>
      <c r="F47">
        <v>97459375</v>
      </c>
      <c r="G47">
        <v>3957993</v>
      </c>
      <c r="H47">
        <v>1.1507644144320801E-3</v>
      </c>
      <c r="I47" s="1">
        <v>8.7618780466745404E-5</v>
      </c>
      <c r="J47">
        <v>281029.166979325</v>
      </c>
      <c r="K47">
        <v>1.3020802509504801</v>
      </c>
      <c r="M47">
        <v>400</v>
      </c>
      <c r="N47" t="s">
        <v>63</v>
      </c>
      <c r="O47">
        <v>2</v>
      </c>
      <c r="P47">
        <v>1721497825500</v>
      </c>
      <c r="Q47">
        <v>1549773385</v>
      </c>
      <c r="R47">
        <v>178390981.30000001</v>
      </c>
      <c r="S47">
        <v>6319995</v>
      </c>
      <c r="T47">
        <v>9.00247076728009E-4</v>
      </c>
      <c r="U47">
        <v>1.03625446781024E-4</v>
      </c>
      <c r="V47">
        <v>272389.11193758802</v>
      </c>
      <c r="W47">
        <v>1.11903469828264</v>
      </c>
      <c r="Y47">
        <v>859</v>
      </c>
      <c r="Z47" t="s">
        <v>151</v>
      </c>
      <c r="AA47">
        <v>1</v>
      </c>
      <c r="AB47">
        <v>28434697607000</v>
      </c>
      <c r="AC47">
        <v>15434100925</v>
      </c>
      <c r="AD47">
        <v>350210714.29000002</v>
      </c>
      <c r="AE47">
        <v>83085849</v>
      </c>
      <c r="AF47">
        <v>5.42791104667857E-4</v>
      </c>
      <c r="AG47" s="1">
        <v>1.23163157607762E-5</v>
      </c>
      <c r="AH47">
        <v>342232.73817662901</v>
      </c>
      <c r="AI47">
        <v>-0.163264727195715</v>
      </c>
      <c r="AK47" t="s">
        <v>318</v>
      </c>
    </row>
    <row r="48" spans="1:37" x14ac:dyDescent="0.4">
      <c r="A48">
        <v>932</v>
      </c>
      <c r="B48" t="s">
        <v>56</v>
      </c>
      <c r="C48">
        <v>2</v>
      </c>
      <c r="D48">
        <v>415200000000</v>
      </c>
      <c r="E48">
        <v>511287520</v>
      </c>
      <c r="F48">
        <v>48800000</v>
      </c>
      <c r="G48">
        <v>2000000</v>
      </c>
      <c r="H48">
        <v>1.2314246628131E-3</v>
      </c>
      <c r="I48">
        <v>1.1753371868978799E-4</v>
      </c>
      <c r="J48">
        <v>207600</v>
      </c>
      <c r="K48">
        <v>1.2276491305074</v>
      </c>
      <c r="M48">
        <v>708</v>
      </c>
      <c r="N48" t="s">
        <v>77</v>
      </c>
      <c r="O48">
        <v>2</v>
      </c>
      <c r="P48">
        <v>399153950700</v>
      </c>
      <c r="Q48">
        <v>599634935</v>
      </c>
      <c r="R48">
        <v>63750000</v>
      </c>
      <c r="S48">
        <v>9778827</v>
      </c>
      <c r="T48">
        <v>1.50226481273306E-3</v>
      </c>
      <c r="U48">
        <v>1.5971281228258099E-4</v>
      </c>
      <c r="V48">
        <v>40818.183070423402</v>
      </c>
      <c r="W48">
        <v>1.0250693957860699</v>
      </c>
      <c r="Y48">
        <v>107</v>
      </c>
      <c r="Z48" s="2" t="s">
        <v>166</v>
      </c>
      <c r="AA48">
        <v>1</v>
      </c>
      <c r="AB48">
        <v>3240750000000</v>
      </c>
      <c r="AC48">
        <v>3504313509.8400002</v>
      </c>
      <c r="AD48">
        <v>362461356.85000002</v>
      </c>
      <c r="AE48">
        <v>59801586</v>
      </c>
      <c r="AF48">
        <v>1.0813279363850899E-3</v>
      </c>
      <c r="AG48">
        <v>1.11844899128288E-4</v>
      </c>
      <c r="AH48">
        <v>54191.7065544047</v>
      </c>
      <c r="AI48">
        <v>-0.18244047210248199</v>
      </c>
      <c r="AK48" t="s">
        <v>319</v>
      </c>
    </row>
    <row r="49" spans="1:37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1.16123345772171</v>
      </c>
      <c r="M49">
        <v>603</v>
      </c>
      <c r="N49" t="s">
        <v>75</v>
      </c>
      <c r="O49">
        <v>1</v>
      </c>
      <c r="P49">
        <v>2355094187800</v>
      </c>
      <c r="Q49">
        <v>3229719440</v>
      </c>
      <c r="R49">
        <v>351829593.38</v>
      </c>
      <c r="S49">
        <v>29217968</v>
      </c>
      <c r="T49">
        <v>1.3713759121528001E-3</v>
      </c>
      <c r="U49">
        <v>1.4939088007713999E-4</v>
      </c>
      <c r="V49">
        <v>80604.311285439093</v>
      </c>
      <c r="W49">
        <v>0.988010821217437</v>
      </c>
      <c r="Y49">
        <v>1051</v>
      </c>
      <c r="Z49" t="s">
        <v>163</v>
      </c>
      <c r="AA49">
        <v>1</v>
      </c>
      <c r="AB49">
        <v>5016706914000</v>
      </c>
      <c r="AC49">
        <v>3263226247</v>
      </c>
      <c r="AD49">
        <v>475847357.56</v>
      </c>
      <c r="AE49">
        <v>32002270</v>
      </c>
      <c r="AF49">
        <v>6.50471774201796E-4</v>
      </c>
      <c r="AG49" s="1">
        <v>9.4852532890064695E-5</v>
      </c>
      <c r="AH49">
        <v>156760.97083113101</v>
      </c>
      <c r="AI49">
        <v>-0.23081245342690199</v>
      </c>
      <c r="AK49" t="s">
        <v>320</v>
      </c>
    </row>
    <row r="50" spans="1:37" x14ac:dyDescent="0.4">
      <c r="A50">
        <v>307</v>
      </c>
      <c r="B50" t="s">
        <v>58</v>
      </c>
      <c r="C50">
        <v>2</v>
      </c>
      <c r="D50">
        <v>518700000000</v>
      </c>
      <c r="E50">
        <v>788386642</v>
      </c>
      <c r="F50">
        <v>74575000</v>
      </c>
      <c r="G50">
        <v>4810112</v>
      </c>
      <c r="H50">
        <v>1.5199279776363899E-3</v>
      </c>
      <c r="I50">
        <v>1.4377289377289301E-4</v>
      </c>
      <c r="J50">
        <v>107835.32691130599</v>
      </c>
      <c r="K50">
        <v>1.1579880464591801</v>
      </c>
      <c r="M50">
        <v>977</v>
      </c>
      <c r="N50" t="s">
        <v>73</v>
      </c>
      <c r="O50">
        <v>1</v>
      </c>
      <c r="P50">
        <v>8265802191800</v>
      </c>
      <c r="Q50">
        <v>11809888000</v>
      </c>
      <c r="R50">
        <v>999463860.75</v>
      </c>
      <c r="S50">
        <v>65153857</v>
      </c>
      <c r="T50">
        <v>1.4287648949204001E-3</v>
      </c>
      <c r="U50">
        <v>1.209155309501E-4</v>
      </c>
      <c r="V50">
        <v>126865.89209599599</v>
      </c>
      <c r="W50">
        <v>0.97597402410746903</v>
      </c>
      <c r="Y50">
        <v>370</v>
      </c>
      <c r="Z50" t="s">
        <v>159</v>
      </c>
      <c r="AA50">
        <v>1</v>
      </c>
      <c r="AB50">
        <v>1708543782000</v>
      </c>
      <c r="AC50">
        <v>271575177</v>
      </c>
      <c r="AD50">
        <v>59544166.670000002</v>
      </c>
      <c r="AE50">
        <v>4899307</v>
      </c>
      <c r="AF50">
        <v>1.5895125419735899E-4</v>
      </c>
      <c r="AG50" s="1">
        <v>3.4850828698283802E-5</v>
      </c>
      <c r="AH50">
        <v>348731.72511949099</v>
      </c>
      <c r="AI50">
        <v>-0.31067708114478998</v>
      </c>
      <c r="AK50" t="s">
        <v>321</v>
      </c>
    </row>
    <row r="51" spans="1:37" x14ac:dyDescent="0.4">
      <c r="A51">
        <v>23</v>
      </c>
      <c r="B51" t="s">
        <v>59</v>
      </c>
      <c r="C51">
        <v>1</v>
      </c>
      <c r="D51">
        <v>17086065076050</v>
      </c>
      <c r="E51">
        <v>25266207000</v>
      </c>
      <c r="F51">
        <v>3178486034.73</v>
      </c>
      <c r="G51">
        <v>441025000</v>
      </c>
      <c r="H51">
        <v>1.47876101885016E-3</v>
      </c>
      <c r="I51">
        <v>1.86027971951562E-4</v>
      </c>
      <c r="J51">
        <v>38741.715494699798</v>
      </c>
      <c r="K51">
        <v>1.14287429561446</v>
      </c>
      <c r="M51">
        <v>587</v>
      </c>
      <c r="N51" t="s">
        <v>79</v>
      </c>
      <c r="O51">
        <v>2</v>
      </c>
      <c r="P51">
        <v>1675703134600</v>
      </c>
      <c r="Q51">
        <v>751986657</v>
      </c>
      <c r="R51">
        <v>343275000</v>
      </c>
      <c r="S51">
        <v>13635074</v>
      </c>
      <c r="T51">
        <v>4.4875887707848802E-4</v>
      </c>
      <c r="U51">
        <v>2.04854304388433E-4</v>
      </c>
      <c r="V51">
        <v>122896.519270815</v>
      </c>
      <c r="W51">
        <v>0.91636888698261698</v>
      </c>
      <c r="Y51">
        <v>590</v>
      </c>
      <c r="Z51" s="2" t="s">
        <v>174</v>
      </c>
      <c r="AA51">
        <v>1</v>
      </c>
      <c r="AB51">
        <v>9348449758200</v>
      </c>
      <c r="AC51">
        <v>6115314000</v>
      </c>
      <c r="AD51">
        <v>1351297955.22</v>
      </c>
      <c r="AE51">
        <v>202649026</v>
      </c>
      <c r="AF51">
        <v>6.5415273742429304E-4</v>
      </c>
      <c r="AG51">
        <v>1.44547811687676E-4</v>
      </c>
      <c r="AH51">
        <v>46131.234591771397</v>
      </c>
      <c r="AI51">
        <v>-0.35199162350977897</v>
      </c>
      <c r="AK51" t="s">
        <v>322</v>
      </c>
    </row>
    <row r="52" spans="1:37" x14ac:dyDescent="0.4">
      <c r="A52">
        <v>622</v>
      </c>
      <c r="B52" t="s">
        <v>60</v>
      </c>
      <c r="C52">
        <v>3</v>
      </c>
      <c r="D52">
        <v>288391458800</v>
      </c>
      <c r="E52">
        <v>491915642</v>
      </c>
      <c r="F52">
        <v>49250000</v>
      </c>
      <c r="G52">
        <v>9918250</v>
      </c>
      <c r="H52">
        <v>1.7057219518458199E-3</v>
      </c>
      <c r="I52">
        <v>1.70774821851277E-4</v>
      </c>
      <c r="J52">
        <v>29076.849121568801</v>
      </c>
      <c r="K52">
        <v>1.14253907849777</v>
      </c>
      <c r="M52">
        <v>1015</v>
      </c>
      <c r="N52" t="s">
        <v>66</v>
      </c>
      <c r="O52">
        <v>2</v>
      </c>
      <c r="P52">
        <v>1088324535600</v>
      </c>
      <c r="Q52">
        <v>498021103</v>
      </c>
      <c r="R52">
        <v>80987831.549999997</v>
      </c>
      <c r="S52">
        <v>2827004</v>
      </c>
      <c r="T52">
        <v>4.57603487479438E-4</v>
      </c>
      <c r="U52" s="1">
        <v>7.4415148148204599E-5</v>
      </c>
      <c r="V52">
        <v>384974.52978488803</v>
      </c>
      <c r="W52">
        <v>0.90529736602111699</v>
      </c>
      <c r="Y52">
        <v>903</v>
      </c>
      <c r="Z52" s="2" t="s">
        <v>176</v>
      </c>
      <c r="AA52">
        <v>1</v>
      </c>
      <c r="AB52">
        <v>21100000000000</v>
      </c>
      <c r="AC52">
        <v>27530172000</v>
      </c>
      <c r="AD52">
        <v>1580123117.9300001</v>
      </c>
      <c r="AE52">
        <v>332793625</v>
      </c>
      <c r="AF52">
        <v>1.3047474881516499E-3</v>
      </c>
      <c r="AG52" s="1">
        <v>7.4887351560663505E-5</v>
      </c>
      <c r="AH52">
        <v>63402.656826734499</v>
      </c>
      <c r="AI52">
        <v>-0.36805655359609102</v>
      </c>
      <c r="AK52" t="s">
        <v>323</v>
      </c>
    </row>
    <row r="53" spans="1:37" x14ac:dyDescent="0.4">
      <c r="A53">
        <v>1070</v>
      </c>
      <c r="B53" t="s">
        <v>61</v>
      </c>
      <c r="C53">
        <v>1</v>
      </c>
      <c r="D53">
        <v>14623411580050</v>
      </c>
      <c r="E53">
        <v>29342327000</v>
      </c>
      <c r="F53">
        <v>2013229721.22</v>
      </c>
      <c r="G53">
        <v>378624659</v>
      </c>
      <c r="H53">
        <v>2.0065308864061701E-3</v>
      </c>
      <c r="I53">
        <v>1.3767168558440499E-4</v>
      </c>
      <c r="J53">
        <v>38622.4489938728</v>
      </c>
      <c r="K53">
        <v>1.14000110936993</v>
      </c>
      <c r="M53">
        <v>396</v>
      </c>
      <c r="N53" t="s">
        <v>69</v>
      </c>
      <c r="O53">
        <v>2</v>
      </c>
      <c r="P53">
        <v>510050400000</v>
      </c>
      <c r="Q53">
        <v>148249919</v>
      </c>
      <c r="R53">
        <v>48733333.329999998</v>
      </c>
      <c r="S53">
        <v>1374315</v>
      </c>
      <c r="T53">
        <v>2.9065739189695699E-4</v>
      </c>
      <c r="U53" s="1">
        <v>9.5546113344877195E-5</v>
      </c>
      <c r="V53">
        <v>371130.63598956499</v>
      </c>
      <c r="W53">
        <v>0.90117433552397797</v>
      </c>
      <c r="Y53">
        <v>659</v>
      </c>
      <c r="Z53" t="s">
        <v>172</v>
      </c>
      <c r="AA53">
        <v>1</v>
      </c>
      <c r="AB53">
        <v>3867208434000</v>
      </c>
      <c r="AC53">
        <v>2473023894</v>
      </c>
      <c r="AD53">
        <v>438489611.39999998</v>
      </c>
      <c r="AE53">
        <v>36792090</v>
      </c>
      <c r="AF53">
        <v>6.3948554524692505E-4</v>
      </c>
      <c r="AG53">
        <v>1.13386598856388E-4</v>
      </c>
      <c r="AH53">
        <v>105109.77859643201</v>
      </c>
      <c r="AI53">
        <v>-0.38013382206195201</v>
      </c>
      <c r="AK53" t="s">
        <v>324</v>
      </c>
    </row>
    <row r="54" spans="1:37" x14ac:dyDescent="0.4">
      <c r="A54">
        <v>989</v>
      </c>
      <c r="B54" t="s">
        <v>62</v>
      </c>
      <c r="C54">
        <v>1</v>
      </c>
      <c r="D54">
        <v>2773189258500</v>
      </c>
      <c r="E54">
        <v>3557258380</v>
      </c>
      <c r="F54">
        <v>346670002.82999998</v>
      </c>
      <c r="G54">
        <v>15953830</v>
      </c>
      <c r="H54">
        <v>1.2827319192502901E-3</v>
      </c>
      <c r="I54">
        <v>1.25007697100886E-4</v>
      </c>
      <c r="J54">
        <v>173825.92509134099</v>
      </c>
      <c r="K54">
        <v>1.11297605308549</v>
      </c>
      <c r="M54">
        <v>362</v>
      </c>
      <c r="N54" t="s">
        <v>71</v>
      </c>
      <c r="O54">
        <v>1</v>
      </c>
      <c r="P54">
        <v>1573042160200</v>
      </c>
      <c r="Q54">
        <v>1510488445</v>
      </c>
      <c r="R54">
        <v>112391108.40000001</v>
      </c>
      <c r="S54">
        <v>5237698</v>
      </c>
      <c r="T54">
        <v>9.6023392329672402E-4</v>
      </c>
      <c r="U54" s="1">
        <v>7.1448249286408394E-5</v>
      </c>
      <c r="V54">
        <v>300330.82476309198</v>
      </c>
      <c r="W54">
        <v>0.89111036345475902</v>
      </c>
      <c r="Y54">
        <v>914</v>
      </c>
      <c r="Z54" s="2" t="s">
        <v>179</v>
      </c>
      <c r="AA54">
        <v>1</v>
      </c>
      <c r="AB54">
        <v>10054621170000</v>
      </c>
      <c r="AC54">
        <v>11869029000</v>
      </c>
      <c r="AD54">
        <v>884484982.82000005</v>
      </c>
      <c r="AE54">
        <v>178907850</v>
      </c>
      <c r="AF54">
        <v>1.18045511604292E-3</v>
      </c>
      <c r="AG54" s="1">
        <v>8.7968006736945998E-5</v>
      </c>
      <c r="AH54">
        <v>56200</v>
      </c>
      <c r="AI54">
        <v>-0.40094917084280501</v>
      </c>
      <c r="AK54" t="s">
        <v>325</v>
      </c>
    </row>
    <row r="55" spans="1:37" x14ac:dyDescent="0.4">
      <c r="A55">
        <v>400</v>
      </c>
      <c r="B55" t="s">
        <v>63</v>
      </c>
      <c r="C55">
        <v>2</v>
      </c>
      <c r="D55">
        <v>1721497825500</v>
      </c>
      <c r="E55">
        <v>1549773385</v>
      </c>
      <c r="F55">
        <v>178390981.30000001</v>
      </c>
      <c r="G55">
        <v>6319995</v>
      </c>
      <c r="H55">
        <v>9.00247076728009E-4</v>
      </c>
      <c r="I55">
        <v>1.03625446781024E-4</v>
      </c>
      <c r="J55">
        <v>272389.11193758802</v>
      </c>
      <c r="K55">
        <v>1.11134029991104</v>
      </c>
      <c r="M55">
        <v>791</v>
      </c>
      <c r="N55" t="s">
        <v>85</v>
      </c>
      <c r="O55">
        <v>2</v>
      </c>
      <c r="P55">
        <v>919232248500</v>
      </c>
      <c r="Q55">
        <v>1292505280</v>
      </c>
      <c r="R55">
        <v>138750000</v>
      </c>
      <c r="S55">
        <v>17018902</v>
      </c>
      <c r="T55">
        <v>1.40607042682532E-3</v>
      </c>
      <c r="U55">
        <v>1.5094117969252199E-4</v>
      </c>
      <c r="V55">
        <v>54012.4297384167</v>
      </c>
      <c r="W55">
        <v>0.84085196214535196</v>
      </c>
      <c r="Y55">
        <v>740</v>
      </c>
      <c r="Z55" s="2" t="s">
        <v>181</v>
      </c>
      <c r="AA55">
        <v>1</v>
      </c>
      <c r="AB55">
        <v>2644656709000</v>
      </c>
      <c r="AC55">
        <v>3473164583.4400001</v>
      </c>
      <c r="AD55">
        <v>225804914.78</v>
      </c>
      <c r="AE55">
        <v>70106125</v>
      </c>
      <c r="AF55">
        <v>1.3132761509728301E-3</v>
      </c>
      <c r="AG55" s="1">
        <v>8.5381559735736495E-5</v>
      </c>
      <c r="AH55">
        <v>37723.618428489601</v>
      </c>
      <c r="AI55">
        <v>-0.40154769421488601</v>
      </c>
      <c r="AK55" t="s">
        <v>326</v>
      </c>
    </row>
    <row r="56" spans="1:37" x14ac:dyDescent="0.4">
      <c r="A56">
        <v>1054</v>
      </c>
      <c r="B56" t="s">
        <v>64</v>
      </c>
      <c r="C56">
        <v>3</v>
      </c>
      <c r="D56">
        <v>131065322000</v>
      </c>
      <c r="E56">
        <v>238723524</v>
      </c>
      <c r="F56">
        <v>19825000</v>
      </c>
      <c r="G56">
        <v>3542306</v>
      </c>
      <c r="H56">
        <v>1.8214087476166999E-3</v>
      </c>
      <c r="I56">
        <v>1.5126045316548299E-4</v>
      </c>
      <c r="J56">
        <v>37000</v>
      </c>
      <c r="K56">
        <v>1.0712847018512599</v>
      </c>
      <c r="M56">
        <v>1094</v>
      </c>
      <c r="N56" t="s">
        <v>82</v>
      </c>
      <c r="O56">
        <v>2</v>
      </c>
      <c r="P56">
        <v>387874472200</v>
      </c>
      <c r="Q56">
        <v>599525339</v>
      </c>
      <c r="R56">
        <v>46883333.329999998</v>
      </c>
      <c r="S56">
        <v>4313727</v>
      </c>
      <c r="T56">
        <v>1.54566846227216E-3</v>
      </c>
      <c r="U56">
        <v>1.2087243861159599E-4</v>
      </c>
      <c r="V56">
        <v>89916.323448377705</v>
      </c>
      <c r="W56">
        <v>0.83700561974604104</v>
      </c>
      <c r="Y56">
        <v>170</v>
      </c>
      <c r="Z56" s="2" t="s">
        <v>186</v>
      </c>
      <c r="AA56">
        <v>1</v>
      </c>
      <c r="AB56">
        <v>4175100891500</v>
      </c>
      <c r="AC56">
        <v>5728709146</v>
      </c>
      <c r="AD56">
        <v>290856349.63</v>
      </c>
      <c r="AE56">
        <v>88501032</v>
      </c>
      <c r="AF56">
        <v>1.37211274526633E-3</v>
      </c>
      <c r="AG56" s="1">
        <v>6.9664508041505799E-5</v>
      </c>
      <c r="AH56">
        <v>47175.7311428865</v>
      </c>
      <c r="AI56">
        <v>-0.48736150875984402</v>
      </c>
      <c r="AK56" t="s">
        <v>327</v>
      </c>
    </row>
    <row r="57" spans="1:37" x14ac:dyDescent="0.4">
      <c r="A57">
        <v>994</v>
      </c>
      <c r="B57" t="s">
        <v>65</v>
      </c>
      <c r="C57">
        <v>2</v>
      </c>
      <c r="D57">
        <v>1045821641600</v>
      </c>
      <c r="E57">
        <v>1818974725</v>
      </c>
      <c r="F57">
        <v>123766155.83</v>
      </c>
      <c r="G57">
        <v>10151316</v>
      </c>
      <c r="H57">
        <v>1.7392781451884599E-3</v>
      </c>
      <c r="I57">
        <v>1.18343464035273E-4</v>
      </c>
      <c r="J57">
        <v>103023.257437754</v>
      </c>
      <c r="K57">
        <v>1.0269533221059</v>
      </c>
      <c r="M57">
        <v>1136</v>
      </c>
      <c r="N57" t="s">
        <v>91</v>
      </c>
      <c r="O57">
        <v>2</v>
      </c>
      <c r="P57">
        <v>414812085400</v>
      </c>
      <c r="Q57">
        <v>357730092</v>
      </c>
      <c r="R57">
        <v>82791666.670000002</v>
      </c>
      <c r="S57">
        <v>8265167</v>
      </c>
      <c r="T57">
        <v>8.62390717606609E-4</v>
      </c>
      <c r="U57">
        <v>1.9958836683884099E-4</v>
      </c>
      <c r="V57">
        <v>50187.9859656798</v>
      </c>
      <c r="W57">
        <v>0.82992866316209801</v>
      </c>
      <c r="Y57">
        <v>336</v>
      </c>
      <c r="Z57" s="2" t="s">
        <v>189</v>
      </c>
      <c r="AA57">
        <v>1</v>
      </c>
      <c r="AB57">
        <v>2501664000000</v>
      </c>
      <c r="AC57">
        <v>2435406304</v>
      </c>
      <c r="AD57">
        <v>107782871.25</v>
      </c>
      <c r="AE57">
        <v>16019178</v>
      </c>
      <c r="AF57">
        <v>9.7351455031531001E-4</v>
      </c>
      <c r="AG57" s="1">
        <v>4.3084471475785702E-5</v>
      </c>
      <c r="AH57">
        <v>156166.81455190701</v>
      </c>
      <c r="AI57">
        <v>-0.58794340022476999</v>
      </c>
      <c r="AK57" t="s">
        <v>328</v>
      </c>
    </row>
    <row r="58" spans="1:37" x14ac:dyDescent="0.4">
      <c r="A58">
        <v>1015</v>
      </c>
      <c r="B58" t="s">
        <v>66</v>
      </c>
      <c r="C58">
        <v>2</v>
      </c>
      <c r="D58">
        <v>1088324535600</v>
      </c>
      <c r="E58">
        <v>498021103</v>
      </c>
      <c r="F58">
        <v>80987831.549999997</v>
      </c>
      <c r="G58">
        <v>2827004</v>
      </c>
      <c r="H58">
        <v>4.57603487479438E-4</v>
      </c>
      <c r="I58" s="1">
        <v>7.4415148148204599E-5</v>
      </c>
      <c r="J58">
        <v>384974.52978488803</v>
      </c>
      <c r="K58">
        <v>1.02380124198995</v>
      </c>
      <c r="M58">
        <v>14</v>
      </c>
      <c r="N58" t="s">
        <v>94</v>
      </c>
      <c r="O58">
        <v>2</v>
      </c>
      <c r="P58">
        <v>2506854789200</v>
      </c>
      <c r="Q58">
        <v>2448974999</v>
      </c>
      <c r="R58">
        <v>492138643.58999997</v>
      </c>
      <c r="S58">
        <v>69584788</v>
      </c>
      <c r="T58">
        <v>9.7691139093921309E-4</v>
      </c>
      <c r="U58">
        <v>1.9631717230300899E-4</v>
      </c>
      <c r="V58">
        <v>36025.9025176594</v>
      </c>
      <c r="W58">
        <v>0.82543750853831199</v>
      </c>
      <c r="Y58">
        <v>1035</v>
      </c>
      <c r="Z58" t="s">
        <v>178</v>
      </c>
      <c r="AA58">
        <v>1</v>
      </c>
      <c r="AB58">
        <v>24978612570000</v>
      </c>
      <c r="AC58">
        <v>3696383967</v>
      </c>
      <c r="AD58">
        <v>869552478.55999994</v>
      </c>
      <c r="AE58">
        <v>78874358</v>
      </c>
      <c r="AF58">
        <v>1.4798195682971799E-4</v>
      </c>
      <c r="AG58" s="1">
        <v>3.4811880608787499E-5</v>
      </c>
      <c r="AH58">
        <v>316688.632445033</v>
      </c>
      <c r="AI58">
        <v>-0.592817031432185</v>
      </c>
      <c r="AK58" t="s">
        <v>329</v>
      </c>
    </row>
    <row r="59" spans="1:37" x14ac:dyDescent="0.4">
      <c r="A59">
        <v>471</v>
      </c>
      <c r="B59" t="s">
        <v>67</v>
      </c>
      <c r="C59">
        <v>3</v>
      </c>
      <c r="D59">
        <v>226627431360</v>
      </c>
      <c r="E59">
        <v>353316810</v>
      </c>
      <c r="F59">
        <v>31050000</v>
      </c>
      <c r="G59">
        <v>2362075</v>
      </c>
      <c r="H59">
        <v>1.5590204940316801E-3</v>
      </c>
      <c r="I59">
        <v>1.3700900995818399E-4</v>
      </c>
      <c r="J59">
        <v>95944.214878867104</v>
      </c>
      <c r="K59">
        <v>0.99707256581718295</v>
      </c>
      <c r="M59">
        <v>224</v>
      </c>
      <c r="N59" t="s">
        <v>83</v>
      </c>
      <c r="O59">
        <v>2</v>
      </c>
      <c r="P59">
        <v>300000000000</v>
      </c>
      <c r="Q59">
        <v>667132978</v>
      </c>
      <c r="R59">
        <v>24000000</v>
      </c>
      <c r="S59">
        <v>5847970</v>
      </c>
      <c r="T59">
        <v>2.2237765933333302E-3</v>
      </c>
      <c r="U59" s="1">
        <v>8.0000000000000007E-5</v>
      </c>
      <c r="V59">
        <v>51299.852769422498</v>
      </c>
      <c r="W59">
        <v>0.82372481253905205</v>
      </c>
      <c r="Y59">
        <v>390</v>
      </c>
      <c r="Z59" s="2" t="s">
        <v>192</v>
      </c>
      <c r="AA59">
        <v>1</v>
      </c>
      <c r="AB59">
        <v>253146621356000</v>
      </c>
      <c r="AC59">
        <v>175638353000</v>
      </c>
      <c r="AD59">
        <v>25091958719.27</v>
      </c>
      <c r="AE59">
        <v>2671895561</v>
      </c>
      <c r="AF59">
        <v>6.9382064852052596E-4</v>
      </c>
      <c r="AG59" s="1">
        <v>9.9120259179691705E-5</v>
      </c>
      <c r="AH59">
        <v>94744.205219329597</v>
      </c>
      <c r="AI59" t="s">
        <v>335</v>
      </c>
      <c r="AK59" t="s">
        <v>330</v>
      </c>
    </row>
    <row r="60" spans="1:37" x14ac:dyDescent="0.4">
      <c r="A60">
        <v>52</v>
      </c>
      <c r="B60" t="s">
        <v>68</v>
      </c>
      <c r="C60">
        <v>1</v>
      </c>
      <c r="D60">
        <v>4375320465850</v>
      </c>
      <c r="E60">
        <v>6006117000</v>
      </c>
      <c r="F60">
        <v>716960948.51999998</v>
      </c>
      <c r="G60">
        <v>55677883</v>
      </c>
      <c r="H60">
        <v>1.3727261915735299E-3</v>
      </c>
      <c r="I60">
        <v>1.63864785246242E-4</v>
      </c>
      <c r="J60">
        <v>78582.737527035599</v>
      </c>
      <c r="K60">
        <v>0.99575277565892095</v>
      </c>
      <c r="M60">
        <v>105</v>
      </c>
      <c r="N60" t="s">
        <v>90</v>
      </c>
      <c r="O60">
        <v>2</v>
      </c>
      <c r="P60">
        <v>898346080950</v>
      </c>
      <c r="Q60">
        <v>1490213673</v>
      </c>
      <c r="R60">
        <v>126991778.52</v>
      </c>
      <c r="S60">
        <v>35595649</v>
      </c>
      <c r="T60">
        <v>1.6588414026631E-3</v>
      </c>
      <c r="U60">
        <v>1.4136175491042999E-4</v>
      </c>
      <c r="V60">
        <v>25237.524983741601</v>
      </c>
      <c r="W60">
        <v>0.81130392125399997</v>
      </c>
      <c r="Y60">
        <v>384</v>
      </c>
      <c r="Z60" s="2" t="s">
        <v>193</v>
      </c>
      <c r="AA60">
        <v>1</v>
      </c>
      <c r="AB60">
        <v>4828560000000</v>
      </c>
      <c r="AC60">
        <v>4288426206.1399999</v>
      </c>
      <c r="AD60">
        <v>491961820.27999997</v>
      </c>
      <c r="AE60">
        <v>98112427</v>
      </c>
      <c r="AF60">
        <v>8.8813770692297404E-4</v>
      </c>
      <c r="AG60">
        <v>1.0188582523153901E-4</v>
      </c>
      <c r="AH60">
        <v>49214.560760993103</v>
      </c>
      <c r="AI60">
        <v>-0.663687895178669</v>
      </c>
      <c r="AK60" t="s">
        <v>331</v>
      </c>
    </row>
    <row r="61" spans="1:37" x14ac:dyDescent="0.4">
      <c r="A61">
        <v>396</v>
      </c>
      <c r="B61" t="s">
        <v>69</v>
      </c>
      <c r="C61">
        <v>2</v>
      </c>
      <c r="D61">
        <v>510050400000</v>
      </c>
      <c r="E61">
        <v>148249919</v>
      </c>
      <c r="F61">
        <v>48733333.329999998</v>
      </c>
      <c r="G61">
        <v>1374315</v>
      </c>
      <c r="H61">
        <v>2.9065739189695699E-4</v>
      </c>
      <c r="I61" s="1">
        <v>9.5546113344877195E-5</v>
      </c>
      <c r="J61">
        <v>371130.63598956499</v>
      </c>
      <c r="K61">
        <v>0.99104747722536402</v>
      </c>
      <c r="M61">
        <v>812</v>
      </c>
      <c r="N61" t="s">
        <v>89</v>
      </c>
      <c r="O61">
        <v>2</v>
      </c>
      <c r="P61">
        <v>565242966400</v>
      </c>
      <c r="Q61">
        <v>715512928.15999997</v>
      </c>
      <c r="R61">
        <v>91500168.629999995</v>
      </c>
      <c r="S61">
        <v>10746064</v>
      </c>
      <c r="T61">
        <v>1.2658502107811399E-3</v>
      </c>
      <c r="U61">
        <v>1.6187758905300301E-4</v>
      </c>
      <c r="V61">
        <v>52600</v>
      </c>
      <c r="W61">
        <v>0.80658933515097497</v>
      </c>
      <c r="Y61">
        <v>522</v>
      </c>
      <c r="Z61" t="s">
        <v>194</v>
      </c>
      <c r="AA61">
        <v>1</v>
      </c>
      <c r="AB61">
        <v>3730574254800</v>
      </c>
      <c r="AC61">
        <v>4189546066</v>
      </c>
      <c r="AD61">
        <v>178647829.02000001</v>
      </c>
      <c r="AE61">
        <v>36346848</v>
      </c>
      <c r="AF61">
        <v>1.12302980180851E-3</v>
      </c>
      <c r="AG61" s="1">
        <v>4.7887487774875399E-5</v>
      </c>
      <c r="AH61">
        <v>102638.178001019</v>
      </c>
      <c r="AI61">
        <v>-0.73716937830880802</v>
      </c>
      <c r="AK61" t="s">
        <v>332</v>
      </c>
    </row>
    <row r="62" spans="1:37" x14ac:dyDescent="0.4">
      <c r="A62">
        <v>385</v>
      </c>
      <c r="B62" t="s">
        <v>70</v>
      </c>
      <c r="C62">
        <v>2</v>
      </c>
      <c r="D62">
        <v>557080730500</v>
      </c>
      <c r="E62">
        <v>825558854</v>
      </c>
      <c r="F62">
        <v>88935853.670000002</v>
      </c>
      <c r="G62">
        <v>8804923</v>
      </c>
      <c r="H62">
        <v>1.4819375519577399E-3</v>
      </c>
      <c r="I62">
        <v>1.59646257356948E-4</v>
      </c>
      <c r="J62">
        <v>63269.233643496897</v>
      </c>
      <c r="K62">
        <v>0.94778605891622403</v>
      </c>
      <c r="M62">
        <v>147</v>
      </c>
      <c r="N62" t="s">
        <v>86</v>
      </c>
      <c r="O62">
        <v>2</v>
      </c>
      <c r="P62">
        <v>691588682500</v>
      </c>
      <c r="Q62">
        <v>605065197</v>
      </c>
      <c r="R62">
        <v>113750000</v>
      </c>
      <c r="S62">
        <v>6030593</v>
      </c>
      <c r="T62">
        <v>8.7489169836147502E-4</v>
      </c>
      <c r="U62">
        <v>1.64476375739419E-4</v>
      </c>
      <c r="V62">
        <v>114680.045975578</v>
      </c>
      <c r="W62">
        <v>0.79068623323648601</v>
      </c>
      <c r="Y62">
        <v>298</v>
      </c>
      <c r="Z62" t="s">
        <v>202</v>
      </c>
      <c r="AA62">
        <v>1</v>
      </c>
      <c r="AB62">
        <v>1909949588000</v>
      </c>
      <c r="AC62">
        <v>1759087683</v>
      </c>
      <c r="AD62">
        <v>130730247.15000001</v>
      </c>
      <c r="AE62">
        <v>23130500</v>
      </c>
      <c r="AF62">
        <v>9.2101262465362995E-4</v>
      </c>
      <c r="AG62" s="1">
        <v>6.8446962145683602E-5</v>
      </c>
      <c r="AH62">
        <v>82572.775685782806</v>
      </c>
      <c r="AI62">
        <v>-0.87104276969016303</v>
      </c>
      <c r="AK62" t="s">
        <v>334</v>
      </c>
    </row>
    <row r="63" spans="1:37" x14ac:dyDescent="0.4">
      <c r="A63">
        <v>362</v>
      </c>
      <c r="B63" t="s">
        <v>71</v>
      </c>
      <c r="C63">
        <v>1</v>
      </c>
      <c r="D63">
        <v>1573042160200</v>
      </c>
      <c r="E63">
        <v>1510488445</v>
      </c>
      <c r="F63">
        <v>112391108.40000001</v>
      </c>
      <c r="G63">
        <v>5237698</v>
      </c>
      <c r="H63">
        <v>9.6023392329672402E-4</v>
      </c>
      <c r="I63" s="1">
        <v>7.1448249286408394E-5</v>
      </c>
      <c r="J63">
        <v>300330.82476309198</v>
      </c>
      <c r="K63">
        <v>0.93796637186662501</v>
      </c>
      <c r="M63">
        <v>909</v>
      </c>
      <c r="N63" t="s">
        <v>96</v>
      </c>
      <c r="O63">
        <v>2</v>
      </c>
      <c r="P63">
        <v>416056784700</v>
      </c>
      <c r="Q63">
        <v>730494085</v>
      </c>
      <c r="R63">
        <v>55250000</v>
      </c>
      <c r="S63">
        <v>20405040</v>
      </c>
      <c r="T63">
        <v>1.7557557330226601E-3</v>
      </c>
      <c r="U63">
        <v>1.32794373344586E-4</v>
      </c>
      <c r="V63">
        <v>20389.902921043002</v>
      </c>
      <c r="W63">
        <v>0.76801724798344095</v>
      </c>
      <c r="Y63">
        <v>901</v>
      </c>
      <c r="Z63" t="s">
        <v>203</v>
      </c>
      <c r="AA63">
        <v>1</v>
      </c>
      <c r="AB63">
        <v>5130183491750</v>
      </c>
      <c r="AC63">
        <v>4579168000</v>
      </c>
      <c r="AD63">
        <v>456186761.50999999</v>
      </c>
      <c r="AE63">
        <v>109152840</v>
      </c>
      <c r="AF63">
        <v>8.9259341451702304E-4</v>
      </c>
      <c r="AG63" s="1">
        <v>8.8922114042042994E-5</v>
      </c>
      <c r="AH63">
        <v>47000.000107647204</v>
      </c>
      <c r="AI63">
        <v>-0.88167829821323596</v>
      </c>
      <c r="AK63" t="s">
        <v>333</v>
      </c>
    </row>
    <row r="64" spans="1:37" x14ac:dyDescent="0.4">
      <c r="A64">
        <v>1016</v>
      </c>
      <c r="B64" t="s">
        <v>72</v>
      </c>
      <c r="C64">
        <v>2</v>
      </c>
      <c r="D64">
        <v>1220946626500</v>
      </c>
      <c r="E64">
        <v>2242219486.9899998</v>
      </c>
      <c r="F64">
        <v>182784467.47</v>
      </c>
      <c r="G64">
        <v>63284882</v>
      </c>
      <c r="H64">
        <v>1.8364598732850501E-3</v>
      </c>
      <c r="I64">
        <v>1.49707172699248E-4</v>
      </c>
      <c r="J64">
        <v>19292.8640761311</v>
      </c>
      <c r="K64">
        <v>0.90543169209419005</v>
      </c>
      <c r="M64">
        <v>1008</v>
      </c>
      <c r="N64" t="s">
        <v>99</v>
      </c>
      <c r="O64">
        <v>1</v>
      </c>
      <c r="P64">
        <v>5031478324400</v>
      </c>
      <c r="Q64">
        <v>6530126000</v>
      </c>
      <c r="R64">
        <v>823546623.80999994</v>
      </c>
      <c r="S64">
        <v>139343243</v>
      </c>
      <c r="T64">
        <v>1.2978543439872E-3</v>
      </c>
      <c r="U64">
        <v>1.6367885752706799E-4</v>
      </c>
      <c r="V64">
        <v>36108.520342102202</v>
      </c>
      <c r="W64">
        <v>0.74563388488255999</v>
      </c>
      <c r="Y64">
        <v>48</v>
      </c>
      <c r="Z64" t="s">
        <v>205</v>
      </c>
      <c r="AA64">
        <v>1</v>
      </c>
      <c r="AB64">
        <v>29265695073000</v>
      </c>
      <c r="AC64">
        <v>21697159000</v>
      </c>
      <c r="AD64">
        <v>2398063114.04</v>
      </c>
      <c r="AE64">
        <v>353000898</v>
      </c>
      <c r="AF64">
        <v>7.4138539836073796E-4</v>
      </c>
      <c r="AG64" s="1">
        <v>8.1941095472302895E-5</v>
      </c>
      <c r="AH64">
        <v>82905.440860946401</v>
      </c>
      <c r="AI64">
        <v>-0.91558909541312195</v>
      </c>
    </row>
    <row r="65" spans="1:35" x14ac:dyDescent="0.4">
      <c r="A65">
        <v>977</v>
      </c>
      <c r="B65" t="s">
        <v>73</v>
      </c>
      <c r="C65">
        <v>1</v>
      </c>
      <c r="D65">
        <v>8265802191800</v>
      </c>
      <c r="E65">
        <v>11809888000</v>
      </c>
      <c r="F65">
        <v>999463860.75</v>
      </c>
      <c r="G65">
        <v>65153857</v>
      </c>
      <c r="H65">
        <v>1.4287648949204001E-3</v>
      </c>
      <c r="I65">
        <v>1.209155309501E-4</v>
      </c>
      <c r="J65">
        <v>126865.89209599599</v>
      </c>
      <c r="K65">
        <v>0.83004095386334598</v>
      </c>
      <c r="M65">
        <v>427</v>
      </c>
      <c r="N65" t="s">
        <v>98</v>
      </c>
      <c r="O65">
        <v>2</v>
      </c>
      <c r="P65">
        <v>1387750000000</v>
      </c>
      <c r="Q65">
        <v>1146422012</v>
      </c>
      <c r="R65">
        <v>257477997.22999999</v>
      </c>
      <c r="S65">
        <v>18528300</v>
      </c>
      <c r="T65">
        <v>8.2610125166636601E-4</v>
      </c>
      <c r="U65">
        <v>1.8553629776977101E-4</v>
      </c>
      <c r="V65">
        <v>74898.938380747204</v>
      </c>
      <c r="W65">
        <v>0.74267495736300204</v>
      </c>
      <c r="Y65">
        <v>1009</v>
      </c>
      <c r="Z65" t="s">
        <v>197</v>
      </c>
      <c r="AA65">
        <v>1</v>
      </c>
      <c r="AB65">
        <v>1771201898100</v>
      </c>
      <c r="AC65">
        <v>426406201</v>
      </c>
      <c r="AD65">
        <v>81062389.340000004</v>
      </c>
      <c r="AE65">
        <v>7406460</v>
      </c>
      <c r="AF65">
        <v>2.40743983764591E-4</v>
      </c>
      <c r="AG65" s="1">
        <v>4.5766882604945803E-5</v>
      </c>
      <c r="AH65">
        <v>239142.84261307001</v>
      </c>
      <c r="AI65">
        <v>-0.92598025914158599</v>
      </c>
    </row>
    <row r="66" spans="1:35" x14ac:dyDescent="0.4">
      <c r="A66">
        <v>330</v>
      </c>
      <c r="B66" t="s">
        <v>74</v>
      </c>
      <c r="C66">
        <v>3</v>
      </c>
      <c r="D66">
        <v>156160000000</v>
      </c>
      <c r="E66">
        <v>178028974</v>
      </c>
      <c r="F66">
        <v>28936226.25</v>
      </c>
      <c r="G66">
        <v>2625000</v>
      </c>
      <c r="H66">
        <v>1.14004209784836E-3</v>
      </c>
      <c r="I66">
        <v>1.8529857998206899E-4</v>
      </c>
      <c r="J66">
        <v>59489.523809523802</v>
      </c>
      <c r="K66">
        <v>0.82263014633672404</v>
      </c>
      <c r="M66">
        <v>49</v>
      </c>
      <c r="N66" t="s">
        <v>88</v>
      </c>
      <c r="O66">
        <v>2</v>
      </c>
      <c r="P66">
        <v>1943352200000</v>
      </c>
      <c r="Q66">
        <v>2640619982</v>
      </c>
      <c r="R66">
        <v>228625000</v>
      </c>
      <c r="S66">
        <v>16771307</v>
      </c>
      <c r="T66">
        <v>1.35879640448087E-3</v>
      </c>
      <c r="U66">
        <v>1.1764465545668899E-4</v>
      </c>
      <c r="V66">
        <v>115873.628692146</v>
      </c>
      <c r="W66">
        <v>0.72056040746882399</v>
      </c>
      <c r="Y66">
        <v>957</v>
      </c>
      <c r="Z66" s="2" t="s">
        <v>208</v>
      </c>
      <c r="AA66">
        <v>1</v>
      </c>
      <c r="AB66">
        <v>17259428154500</v>
      </c>
      <c r="AC66">
        <v>13382959000</v>
      </c>
      <c r="AD66">
        <v>1541620454.2</v>
      </c>
      <c r="AE66">
        <v>296600873</v>
      </c>
      <c r="AF66">
        <v>7.7539990781853895E-4</v>
      </c>
      <c r="AG66" s="1">
        <v>8.9320482718198101E-5</v>
      </c>
      <c r="AH66">
        <v>58190.753047783503</v>
      </c>
      <c r="AI66">
        <v>-0.95346264798345903</v>
      </c>
    </row>
    <row r="67" spans="1:35" x14ac:dyDescent="0.4">
      <c r="A67">
        <v>603</v>
      </c>
      <c r="B67" t="s">
        <v>75</v>
      </c>
      <c r="C67">
        <v>1</v>
      </c>
      <c r="D67">
        <v>2355094187800</v>
      </c>
      <c r="E67">
        <v>3229719440</v>
      </c>
      <c r="F67">
        <v>351829593.38</v>
      </c>
      <c r="G67">
        <v>29217968</v>
      </c>
      <c r="H67">
        <v>1.3713759121528001E-3</v>
      </c>
      <c r="I67">
        <v>1.4939088007713999E-4</v>
      </c>
      <c r="J67">
        <v>80604.311285439093</v>
      </c>
      <c r="K67">
        <v>0.77890170486922194</v>
      </c>
      <c r="M67">
        <v>1028</v>
      </c>
      <c r="N67" t="s">
        <v>97</v>
      </c>
      <c r="O67">
        <v>1</v>
      </c>
      <c r="P67">
        <v>5002732800000</v>
      </c>
      <c r="Q67">
        <v>10221942955</v>
      </c>
      <c r="R67">
        <v>480697916.67000002</v>
      </c>
      <c r="S67">
        <v>135250245</v>
      </c>
      <c r="T67">
        <v>2.0432718203538601E-3</v>
      </c>
      <c r="U67" s="1">
        <v>9.6087065987214001E-5</v>
      </c>
      <c r="V67">
        <v>36988.7152514954</v>
      </c>
      <c r="W67">
        <v>0.70805375626603595</v>
      </c>
      <c r="Y67">
        <v>1071</v>
      </c>
      <c r="Z67" t="s">
        <v>206</v>
      </c>
      <c r="AA67">
        <v>1</v>
      </c>
      <c r="AB67">
        <v>1072000000000</v>
      </c>
      <c r="AC67">
        <v>445224238</v>
      </c>
      <c r="AD67">
        <v>102808156.59</v>
      </c>
      <c r="AE67">
        <v>10000000</v>
      </c>
      <c r="AF67">
        <v>4.1532111753731302E-4</v>
      </c>
      <c r="AG67" s="1">
        <v>9.5903131147388E-5</v>
      </c>
      <c r="AH67">
        <v>107200</v>
      </c>
      <c r="AI67">
        <v>-0.96761768384888402</v>
      </c>
    </row>
    <row r="68" spans="1:35" x14ac:dyDescent="0.4">
      <c r="A68">
        <v>539</v>
      </c>
      <c r="B68" t="s">
        <v>76</v>
      </c>
      <c r="C68">
        <v>3</v>
      </c>
      <c r="D68">
        <v>172973695800</v>
      </c>
      <c r="E68">
        <v>160213511</v>
      </c>
      <c r="F68">
        <v>31125000</v>
      </c>
      <c r="G68">
        <v>1769998</v>
      </c>
      <c r="H68">
        <v>9.2623048989625605E-4</v>
      </c>
      <c r="I68">
        <v>1.7994065430612099E-4</v>
      </c>
      <c r="J68">
        <v>97725.3622885449</v>
      </c>
      <c r="K68">
        <v>0.77288411257199996</v>
      </c>
      <c r="M68">
        <v>258</v>
      </c>
      <c r="N68" t="s">
        <v>103</v>
      </c>
      <c r="O68">
        <v>2</v>
      </c>
      <c r="P68">
        <v>1402300201400</v>
      </c>
      <c r="Q68">
        <v>2148702627</v>
      </c>
      <c r="R68">
        <v>195199271.68000001</v>
      </c>
      <c r="S68">
        <v>40204191</v>
      </c>
      <c r="T68">
        <v>1.53227006945789E-3</v>
      </c>
      <c r="U68">
        <v>1.39199346534444E-4</v>
      </c>
      <c r="V68">
        <v>34879.453273913598</v>
      </c>
      <c r="W68">
        <v>0.66530882654437895</v>
      </c>
      <c r="Y68">
        <v>886</v>
      </c>
      <c r="Z68" s="2" t="s">
        <v>217</v>
      </c>
      <c r="AA68">
        <v>1</v>
      </c>
      <c r="AB68">
        <v>5804530439100</v>
      </c>
      <c r="AC68">
        <v>6650265791</v>
      </c>
      <c r="AD68">
        <v>352339212.5</v>
      </c>
      <c r="AE68">
        <v>173101043</v>
      </c>
      <c r="AF68">
        <v>1.1457026301736699E-3</v>
      </c>
      <c r="AG68" s="1">
        <v>6.0700726130506802E-5</v>
      </c>
      <c r="AH68">
        <v>33532.613891298097</v>
      </c>
      <c r="AI68">
        <v>-1.0730245687267299</v>
      </c>
    </row>
    <row r="69" spans="1:35" x14ac:dyDescent="0.4">
      <c r="A69">
        <v>708</v>
      </c>
      <c r="B69" t="s">
        <v>77</v>
      </c>
      <c r="C69">
        <v>2</v>
      </c>
      <c r="D69">
        <v>399153950700</v>
      </c>
      <c r="E69">
        <v>599634935</v>
      </c>
      <c r="F69">
        <v>63750000</v>
      </c>
      <c r="G69">
        <v>9778827</v>
      </c>
      <c r="H69">
        <v>1.50226481273306E-3</v>
      </c>
      <c r="I69">
        <v>1.5971281228258099E-4</v>
      </c>
      <c r="J69">
        <v>40818.183070423402</v>
      </c>
      <c r="K69">
        <v>0.77217431049548901</v>
      </c>
      <c r="M69">
        <v>364</v>
      </c>
      <c r="N69" t="s">
        <v>100</v>
      </c>
      <c r="O69">
        <v>1</v>
      </c>
      <c r="P69">
        <v>19791411545000</v>
      </c>
      <c r="Q69">
        <v>41500566100</v>
      </c>
      <c r="R69">
        <v>1785501474.24</v>
      </c>
      <c r="S69">
        <v>599968175</v>
      </c>
      <c r="T69">
        <v>2.0968977379728299E-3</v>
      </c>
      <c r="U69" s="1">
        <v>9.0215974246216906E-5</v>
      </c>
      <c r="V69">
        <v>32987.435616897499</v>
      </c>
      <c r="W69">
        <v>0.65334952821333203</v>
      </c>
      <c r="Y69">
        <v>57</v>
      </c>
      <c r="Z69" t="s">
        <v>216</v>
      </c>
      <c r="AA69">
        <v>1</v>
      </c>
      <c r="AB69">
        <v>13825402941500</v>
      </c>
      <c r="AC69">
        <v>11425577365.049999</v>
      </c>
      <c r="AD69">
        <v>985971579.64999998</v>
      </c>
      <c r="AE69">
        <v>207624727</v>
      </c>
      <c r="AF69">
        <v>8.2641912235003299E-4</v>
      </c>
      <c r="AG69" s="1">
        <v>7.1315938046940204E-5</v>
      </c>
      <c r="AH69">
        <v>66588.422011507297</v>
      </c>
      <c r="AI69">
        <v>-1.09578417290884</v>
      </c>
    </row>
    <row r="70" spans="1:35" x14ac:dyDescent="0.4">
      <c r="A70">
        <v>1117</v>
      </c>
      <c r="B70" t="s">
        <v>78</v>
      </c>
      <c r="C70">
        <v>2</v>
      </c>
      <c r="D70">
        <v>2031944541300</v>
      </c>
      <c r="E70">
        <v>245751572</v>
      </c>
      <c r="F70">
        <v>69318047.719999999</v>
      </c>
      <c r="G70">
        <v>4220030</v>
      </c>
      <c r="H70">
        <v>1.2094403513728401E-4</v>
      </c>
      <c r="I70" s="1">
        <v>3.4114143526600197E-5</v>
      </c>
      <c r="J70">
        <v>481500.02281974198</v>
      </c>
      <c r="K70">
        <v>0.76581579686240198</v>
      </c>
      <c r="M70">
        <v>80</v>
      </c>
      <c r="N70" t="s">
        <v>92</v>
      </c>
      <c r="O70">
        <v>2</v>
      </c>
      <c r="P70">
        <v>1352724000000</v>
      </c>
      <c r="Q70">
        <v>1236931257</v>
      </c>
      <c r="R70">
        <v>166450000</v>
      </c>
      <c r="S70">
        <v>7731850</v>
      </c>
      <c r="T70">
        <v>9.1440031891206104E-4</v>
      </c>
      <c r="U70">
        <v>1.2304801275056799E-4</v>
      </c>
      <c r="V70">
        <v>174954.76503036101</v>
      </c>
      <c r="W70">
        <v>0.64711337497232702</v>
      </c>
      <c r="Y70">
        <v>1096</v>
      </c>
      <c r="Z70" t="s">
        <v>218</v>
      </c>
      <c r="AA70">
        <v>1</v>
      </c>
      <c r="AB70">
        <v>5301036388000</v>
      </c>
      <c r="AC70">
        <v>697655693</v>
      </c>
      <c r="AD70">
        <v>125016668.63</v>
      </c>
      <c r="AE70">
        <v>20420260</v>
      </c>
      <c r="AF70">
        <v>1.31607414463196E-4</v>
      </c>
      <c r="AG70" s="1">
        <v>2.35834390635388E-5</v>
      </c>
      <c r="AH70">
        <v>259596.90953983899</v>
      </c>
      <c r="AI70">
        <v>-1.2683288419802701</v>
      </c>
    </row>
    <row r="71" spans="1:35" x14ac:dyDescent="0.4">
      <c r="A71">
        <v>587</v>
      </c>
      <c r="B71" t="s">
        <v>79</v>
      </c>
      <c r="C71">
        <v>2</v>
      </c>
      <c r="D71">
        <v>1675703134600</v>
      </c>
      <c r="E71">
        <v>751986657</v>
      </c>
      <c r="F71">
        <v>343275000</v>
      </c>
      <c r="G71">
        <v>13635074</v>
      </c>
      <c r="H71">
        <v>4.4875887707848802E-4</v>
      </c>
      <c r="I71">
        <v>2.04854304388433E-4</v>
      </c>
      <c r="J71">
        <v>122896.519270815</v>
      </c>
      <c r="K71">
        <v>0.70238760559178903</v>
      </c>
      <c r="M71">
        <v>962</v>
      </c>
      <c r="N71" t="s">
        <v>105</v>
      </c>
      <c r="O71">
        <v>1</v>
      </c>
      <c r="P71">
        <v>19039113418050</v>
      </c>
      <c r="Q71">
        <v>30467514000</v>
      </c>
      <c r="R71">
        <v>2518817736.4099998</v>
      </c>
      <c r="S71">
        <v>569039504</v>
      </c>
      <c r="T71">
        <v>1.6002590735719501E-3</v>
      </c>
      <c r="U71">
        <v>1.32297007801951E-4</v>
      </c>
      <c r="V71">
        <v>33458.333356852498</v>
      </c>
      <c r="W71">
        <v>0.636369425297587</v>
      </c>
      <c r="Y71">
        <v>776</v>
      </c>
      <c r="Z71" s="2" t="s">
        <v>236</v>
      </c>
      <c r="AA71">
        <v>1</v>
      </c>
      <c r="AB71">
        <v>18248530686000</v>
      </c>
      <c r="AC71">
        <v>15218121000</v>
      </c>
      <c r="AD71">
        <v>1413324110.0599999</v>
      </c>
      <c r="AE71">
        <v>706091600</v>
      </c>
      <c r="AF71">
        <v>8.3393678438314499E-4</v>
      </c>
      <c r="AG71" s="1">
        <v>7.7448652408178799E-5</v>
      </c>
      <c r="AH71">
        <v>25844.4239897486</v>
      </c>
      <c r="AI71">
        <v>-1.3249385776399401</v>
      </c>
    </row>
    <row r="72" spans="1:35" x14ac:dyDescent="0.4">
      <c r="A72">
        <v>392</v>
      </c>
      <c r="B72" t="s">
        <v>80</v>
      </c>
      <c r="C72">
        <v>3</v>
      </c>
      <c r="D72">
        <v>275767900000</v>
      </c>
      <c r="E72">
        <v>307022776</v>
      </c>
      <c r="F72">
        <v>48808333.329999998</v>
      </c>
      <c r="G72">
        <v>4378924</v>
      </c>
      <c r="H72">
        <v>1.1133376147115001E-3</v>
      </c>
      <c r="I72">
        <v>1.76990626283914E-4</v>
      </c>
      <c r="J72">
        <v>62976.178622876301</v>
      </c>
      <c r="K72">
        <v>0.68133738845292902</v>
      </c>
      <c r="M72">
        <v>600</v>
      </c>
      <c r="N72" t="s">
        <v>102</v>
      </c>
      <c r="O72">
        <v>1</v>
      </c>
      <c r="P72">
        <v>10214074862000</v>
      </c>
      <c r="Q72">
        <v>8207779513</v>
      </c>
      <c r="R72">
        <v>1601147239.73</v>
      </c>
      <c r="S72">
        <v>84230078</v>
      </c>
      <c r="T72">
        <v>8.0357542155245598E-4</v>
      </c>
      <c r="U72">
        <v>1.5675890977525901E-4</v>
      </c>
      <c r="V72">
        <v>121263.98436909899</v>
      </c>
      <c r="W72">
        <v>0.60592553502699298</v>
      </c>
      <c r="Y72">
        <v>9</v>
      </c>
      <c r="Z72" t="s">
        <v>227</v>
      </c>
      <c r="AA72">
        <v>1</v>
      </c>
      <c r="AB72">
        <v>3137227261000</v>
      </c>
      <c r="AC72">
        <v>1433630369</v>
      </c>
      <c r="AD72">
        <v>135887500</v>
      </c>
      <c r="AE72">
        <v>20074690</v>
      </c>
      <c r="AF72">
        <v>4.5697370631129402E-4</v>
      </c>
      <c r="AG72" s="1">
        <v>4.3314522250034701E-5</v>
      </c>
      <c r="AH72">
        <v>156277.74381571999</v>
      </c>
      <c r="AI72">
        <v>-1.33641283738526</v>
      </c>
    </row>
    <row r="73" spans="1:35" x14ac:dyDescent="0.4">
      <c r="A73">
        <v>474</v>
      </c>
      <c r="B73" t="s">
        <v>81</v>
      </c>
      <c r="C73">
        <v>3</v>
      </c>
      <c r="D73">
        <v>133697443065</v>
      </c>
      <c r="E73">
        <v>134849070</v>
      </c>
      <c r="F73">
        <v>15975000</v>
      </c>
      <c r="G73">
        <v>747864</v>
      </c>
      <c r="H73">
        <v>1.0086136795783001E-3</v>
      </c>
      <c r="I73">
        <v>1.1948620432653499E-4</v>
      </c>
      <c r="J73">
        <v>178772.40121867001</v>
      </c>
      <c r="K73">
        <v>0.66524199184660604</v>
      </c>
      <c r="M73">
        <v>237</v>
      </c>
      <c r="N73" t="s">
        <v>109</v>
      </c>
      <c r="O73">
        <v>2</v>
      </c>
      <c r="P73">
        <v>1691779589500</v>
      </c>
      <c r="Q73">
        <v>3336258154</v>
      </c>
      <c r="R73">
        <v>178406250</v>
      </c>
      <c r="S73">
        <v>109948192</v>
      </c>
      <c r="T73">
        <v>1.9720406693084702E-3</v>
      </c>
      <c r="U73">
        <v>1.0545478329876701E-4</v>
      </c>
      <c r="V73">
        <v>15387.0614761905</v>
      </c>
      <c r="W73">
        <v>0.57886292929900596</v>
      </c>
      <c r="Y73">
        <v>527</v>
      </c>
      <c r="Z73" t="s">
        <v>226</v>
      </c>
      <c r="AA73">
        <v>1</v>
      </c>
      <c r="AB73">
        <v>4141971328000</v>
      </c>
      <c r="AC73">
        <v>465702648</v>
      </c>
      <c r="AD73">
        <v>140965625</v>
      </c>
      <c r="AE73">
        <v>18079563</v>
      </c>
      <c r="AF73">
        <v>1.12435024562294E-4</v>
      </c>
      <c r="AG73" s="1">
        <v>3.4033462290543402E-5</v>
      </c>
      <c r="AH73">
        <v>229096.87186576301</v>
      </c>
      <c r="AI73">
        <v>-1.38285673458196</v>
      </c>
    </row>
    <row r="74" spans="1:35" x14ac:dyDescent="0.4">
      <c r="A74">
        <v>1094</v>
      </c>
      <c r="B74" t="s">
        <v>82</v>
      </c>
      <c r="C74">
        <v>2</v>
      </c>
      <c r="D74">
        <v>387874472200</v>
      </c>
      <c r="E74">
        <v>599525339</v>
      </c>
      <c r="F74">
        <v>46883333.329999998</v>
      </c>
      <c r="G74">
        <v>4313727</v>
      </c>
      <c r="H74">
        <v>1.54566846227216E-3</v>
      </c>
      <c r="I74">
        <v>1.2087243861159599E-4</v>
      </c>
      <c r="J74">
        <v>89916.323448377705</v>
      </c>
      <c r="K74">
        <v>0.66161069162254504</v>
      </c>
      <c r="M74">
        <v>73</v>
      </c>
      <c r="N74" t="s">
        <v>101</v>
      </c>
      <c r="O74">
        <v>1</v>
      </c>
      <c r="P74">
        <v>5608537601800</v>
      </c>
      <c r="Q74">
        <v>3679353019</v>
      </c>
      <c r="R74">
        <v>835693055.55999994</v>
      </c>
      <c r="S74">
        <v>35318944</v>
      </c>
      <c r="T74">
        <v>6.5602716433944396E-4</v>
      </c>
      <c r="U74">
        <v>1.4900373589218501E-4</v>
      </c>
      <c r="V74">
        <v>158796.86555181199</v>
      </c>
      <c r="W74">
        <v>0.56895530536203498</v>
      </c>
      <c r="Y74">
        <v>1026</v>
      </c>
      <c r="Z74" t="s">
        <v>240</v>
      </c>
      <c r="AA74">
        <v>1</v>
      </c>
      <c r="AB74">
        <v>6787500000000</v>
      </c>
      <c r="AC74">
        <v>3250107537</v>
      </c>
      <c r="AD74">
        <v>594099401.78999996</v>
      </c>
      <c r="AE74">
        <v>112500000</v>
      </c>
      <c r="AF74">
        <v>4.7883720618784498E-4</v>
      </c>
      <c r="AG74" s="1">
        <v>8.7528456985635293E-5</v>
      </c>
      <c r="AH74">
        <v>60333.333333333299</v>
      </c>
      <c r="AI74">
        <v>-1.3965510769437</v>
      </c>
    </row>
    <row r="75" spans="1:35" x14ac:dyDescent="0.4">
      <c r="A75">
        <v>224</v>
      </c>
      <c r="B75" t="s">
        <v>83</v>
      </c>
      <c r="C75">
        <v>2</v>
      </c>
      <c r="D75">
        <v>300000000000</v>
      </c>
      <c r="E75">
        <v>667132978</v>
      </c>
      <c r="F75">
        <v>24000000</v>
      </c>
      <c r="G75">
        <v>5847970</v>
      </c>
      <c r="H75">
        <v>2.2237765933333302E-3</v>
      </c>
      <c r="I75" s="1">
        <v>8.0000000000000007E-5</v>
      </c>
      <c r="J75">
        <v>51299.852769422498</v>
      </c>
      <c r="K75">
        <v>0.64677450932915204</v>
      </c>
      <c r="M75">
        <v>930</v>
      </c>
      <c r="N75" t="s">
        <v>104</v>
      </c>
      <c r="O75">
        <v>2</v>
      </c>
      <c r="P75">
        <v>697021785000</v>
      </c>
      <c r="Q75">
        <v>980020087</v>
      </c>
      <c r="R75">
        <v>71112469.930000007</v>
      </c>
      <c r="S75">
        <v>5808515</v>
      </c>
      <c r="T75">
        <v>1.4060106987904199E-3</v>
      </c>
      <c r="U75">
        <v>1.0202331040485299E-4</v>
      </c>
      <c r="V75">
        <v>119999.997417584</v>
      </c>
      <c r="W75">
        <v>0.55686845091500703</v>
      </c>
      <c r="Y75">
        <v>507</v>
      </c>
      <c r="Z75" t="s">
        <v>229</v>
      </c>
      <c r="AA75">
        <v>1</v>
      </c>
      <c r="AB75">
        <v>2404097759150</v>
      </c>
      <c r="AC75">
        <v>648134480</v>
      </c>
      <c r="AD75">
        <v>109135979.41</v>
      </c>
      <c r="AE75">
        <v>13514592</v>
      </c>
      <c r="AF75">
        <v>2.6959572568677702E-4</v>
      </c>
      <c r="AG75" s="1">
        <v>4.5395815954084303E-5</v>
      </c>
      <c r="AH75">
        <v>177889.03720881799</v>
      </c>
      <c r="AI75">
        <v>-1.3974055479465</v>
      </c>
    </row>
    <row r="76" spans="1:35" x14ac:dyDescent="0.4">
      <c r="A76">
        <v>1001</v>
      </c>
      <c r="B76" t="s">
        <v>84</v>
      </c>
      <c r="C76">
        <v>3</v>
      </c>
      <c r="D76">
        <v>153600000000</v>
      </c>
      <c r="E76">
        <v>203354857</v>
      </c>
      <c r="F76">
        <v>25850000</v>
      </c>
      <c r="G76">
        <v>3840000</v>
      </c>
      <c r="H76">
        <v>1.32392485026041E-3</v>
      </c>
      <c r="I76">
        <v>1.6829427083333301E-4</v>
      </c>
      <c r="J76">
        <v>40000</v>
      </c>
      <c r="K76">
        <v>0.64009239575458998</v>
      </c>
      <c r="M76">
        <v>1117</v>
      </c>
      <c r="N76" t="s">
        <v>78</v>
      </c>
      <c r="O76">
        <v>2</v>
      </c>
      <c r="P76">
        <v>2031944541300</v>
      </c>
      <c r="Q76">
        <v>245751572</v>
      </c>
      <c r="R76">
        <v>69318047.719999999</v>
      </c>
      <c r="S76">
        <v>4220030</v>
      </c>
      <c r="T76">
        <v>1.2094403513728401E-4</v>
      </c>
      <c r="U76" s="1">
        <v>3.4114143526600197E-5</v>
      </c>
      <c r="V76">
        <v>481500.02281974198</v>
      </c>
      <c r="W76">
        <v>0.52295816209516699</v>
      </c>
      <c r="Y76">
        <v>568</v>
      </c>
      <c r="Z76" s="2" t="s">
        <v>241</v>
      </c>
      <c r="AA76">
        <v>1</v>
      </c>
      <c r="AB76">
        <v>9076470000000</v>
      </c>
      <c r="AC76">
        <v>5192604414</v>
      </c>
      <c r="AD76">
        <v>708100907.44000006</v>
      </c>
      <c r="AE76">
        <v>150231040</v>
      </c>
      <c r="AF76">
        <v>5.7209514425762397E-4</v>
      </c>
      <c r="AG76" s="1">
        <v>7.8015011060467298E-5</v>
      </c>
      <c r="AH76">
        <v>60416.742106025398</v>
      </c>
      <c r="AI76">
        <v>-1.41117503265375</v>
      </c>
    </row>
    <row r="77" spans="1:35" x14ac:dyDescent="0.4">
      <c r="A77">
        <v>791</v>
      </c>
      <c r="B77" t="s">
        <v>85</v>
      </c>
      <c r="C77">
        <v>2</v>
      </c>
      <c r="D77">
        <v>919232248500</v>
      </c>
      <c r="E77">
        <v>1292505280</v>
      </c>
      <c r="F77">
        <v>138750000</v>
      </c>
      <c r="G77">
        <v>17018902</v>
      </c>
      <c r="H77">
        <v>1.40607042682532E-3</v>
      </c>
      <c r="I77">
        <v>1.5094117969252199E-4</v>
      </c>
      <c r="J77">
        <v>54012.4297384167</v>
      </c>
      <c r="K77">
        <v>0.61029269555704402</v>
      </c>
      <c r="M77">
        <v>1010</v>
      </c>
      <c r="N77" t="s">
        <v>87</v>
      </c>
      <c r="O77">
        <v>2</v>
      </c>
      <c r="P77">
        <v>419458095000</v>
      </c>
      <c r="Q77">
        <v>256074772</v>
      </c>
      <c r="R77">
        <v>31400000</v>
      </c>
      <c r="S77">
        <v>1347246</v>
      </c>
      <c r="T77">
        <v>6.1048952220125801E-4</v>
      </c>
      <c r="U77" s="1">
        <v>7.4858490929826895E-5</v>
      </c>
      <c r="V77">
        <v>311344.84348069999</v>
      </c>
      <c r="W77">
        <v>0.51691224037429895</v>
      </c>
      <c r="Y77">
        <v>956</v>
      </c>
      <c r="Z77" t="s">
        <v>231</v>
      </c>
      <c r="AA77">
        <v>1</v>
      </c>
      <c r="AB77">
        <v>15996722090000</v>
      </c>
      <c r="AC77">
        <v>2326078764</v>
      </c>
      <c r="AD77">
        <v>714917233.14999998</v>
      </c>
      <c r="AE77">
        <v>80628823</v>
      </c>
      <c r="AF77">
        <v>1.4540971274696899E-4</v>
      </c>
      <c r="AG77" s="1">
        <v>4.4691482988062498E-5</v>
      </c>
      <c r="AH77">
        <v>198399.548632875</v>
      </c>
      <c r="AI77">
        <v>-1.41968871843862</v>
      </c>
    </row>
    <row r="78" spans="1:35" x14ac:dyDescent="0.4">
      <c r="A78">
        <v>147</v>
      </c>
      <c r="B78" t="s">
        <v>86</v>
      </c>
      <c r="C78">
        <v>2</v>
      </c>
      <c r="D78">
        <v>691588682500</v>
      </c>
      <c r="E78">
        <v>605065197</v>
      </c>
      <c r="F78">
        <v>113750000</v>
      </c>
      <c r="G78">
        <v>6030593</v>
      </c>
      <c r="H78">
        <v>8.7489169836147502E-4</v>
      </c>
      <c r="I78">
        <v>1.64476375739419E-4</v>
      </c>
      <c r="J78">
        <v>114680.045975578</v>
      </c>
      <c r="K78">
        <v>0.60380452718220001</v>
      </c>
      <c r="M78">
        <v>1063</v>
      </c>
      <c r="N78" t="s">
        <v>112</v>
      </c>
      <c r="O78">
        <v>2</v>
      </c>
      <c r="P78">
        <v>948621810300</v>
      </c>
      <c r="Q78">
        <v>1140429329</v>
      </c>
      <c r="R78">
        <v>135569088.06</v>
      </c>
      <c r="S78">
        <v>14006286</v>
      </c>
      <c r="T78">
        <v>1.20219598223167E-3</v>
      </c>
      <c r="U78">
        <v>1.4291162883670801E-4</v>
      </c>
      <c r="V78">
        <v>67728.290733175003</v>
      </c>
      <c r="W78">
        <v>0.51169737325174902</v>
      </c>
      <c r="Y78">
        <v>452</v>
      </c>
      <c r="Z78" t="s">
        <v>237</v>
      </c>
      <c r="AA78">
        <v>1</v>
      </c>
      <c r="AB78">
        <v>2580000000000</v>
      </c>
      <c r="AC78">
        <v>990953848</v>
      </c>
      <c r="AD78">
        <v>125925547.88</v>
      </c>
      <c r="AE78">
        <v>17559984</v>
      </c>
      <c r="AF78">
        <v>3.8409063875968899E-4</v>
      </c>
      <c r="AG78" s="1">
        <v>4.88083518914728E-5</v>
      </c>
      <c r="AH78">
        <v>146924.963029579</v>
      </c>
      <c r="AI78">
        <v>-1.4328124448388</v>
      </c>
    </row>
    <row r="79" spans="1:35" x14ac:dyDescent="0.4">
      <c r="A79">
        <v>1010</v>
      </c>
      <c r="B79" t="s">
        <v>87</v>
      </c>
      <c r="C79">
        <v>2</v>
      </c>
      <c r="D79">
        <v>419458095000</v>
      </c>
      <c r="E79">
        <v>256074772</v>
      </c>
      <c r="F79">
        <v>31400000</v>
      </c>
      <c r="G79">
        <v>1347246</v>
      </c>
      <c r="H79">
        <v>6.1048952220125801E-4</v>
      </c>
      <c r="I79" s="1">
        <v>7.4858490929826895E-5</v>
      </c>
      <c r="J79">
        <v>311344.84348069999</v>
      </c>
      <c r="K79">
        <v>0.57863979706471302</v>
      </c>
      <c r="M79">
        <v>912</v>
      </c>
      <c r="N79" t="s">
        <v>116</v>
      </c>
      <c r="O79">
        <v>2</v>
      </c>
      <c r="P79">
        <v>2744190917600</v>
      </c>
      <c r="Q79">
        <v>3691744206</v>
      </c>
      <c r="R79">
        <v>402777224.56</v>
      </c>
      <c r="S79">
        <v>84018888</v>
      </c>
      <c r="T79">
        <v>1.34529422946589E-3</v>
      </c>
      <c r="U79">
        <v>1.46774490789532E-4</v>
      </c>
      <c r="V79">
        <v>32661.595302237201</v>
      </c>
      <c r="W79">
        <v>0.49569065531236101</v>
      </c>
      <c r="Y79">
        <v>950</v>
      </c>
      <c r="Z79" t="s">
        <v>235</v>
      </c>
      <c r="AA79">
        <v>1</v>
      </c>
      <c r="AB79">
        <v>7437350664100</v>
      </c>
      <c r="AC79">
        <v>1276926970.25</v>
      </c>
      <c r="AD79">
        <v>326438809.64999998</v>
      </c>
      <c r="AE79">
        <v>38990043</v>
      </c>
      <c r="AF79">
        <v>1.7169110721290901E-4</v>
      </c>
      <c r="AG79" s="1">
        <v>4.3891813683831797E-5</v>
      </c>
      <c r="AH79">
        <v>190749.99902154499</v>
      </c>
      <c r="AI79">
        <v>-1.45747838190787</v>
      </c>
    </row>
    <row r="80" spans="1:35" x14ac:dyDescent="0.4">
      <c r="A80">
        <v>49</v>
      </c>
      <c r="B80" t="s">
        <v>88</v>
      </c>
      <c r="C80">
        <v>2</v>
      </c>
      <c r="D80">
        <v>1943352200000</v>
      </c>
      <c r="E80">
        <v>2640619982</v>
      </c>
      <c r="F80">
        <v>228625000</v>
      </c>
      <c r="G80">
        <v>16771307</v>
      </c>
      <c r="H80">
        <v>1.35879640448087E-3</v>
      </c>
      <c r="I80">
        <v>1.1764465545668899E-4</v>
      </c>
      <c r="J80">
        <v>115873.628692146</v>
      </c>
      <c r="K80">
        <v>0.57292604846473405</v>
      </c>
      <c r="M80">
        <v>1089</v>
      </c>
      <c r="N80" t="s">
        <v>107</v>
      </c>
      <c r="O80">
        <v>2</v>
      </c>
      <c r="P80">
        <v>2180212882800</v>
      </c>
      <c r="Q80">
        <v>1947141685</v>
      </c>
      <c r="R80">
        <v>251102269.18000001</v>
      </c>
      <c r="S80">
        <v>12559609</v>
      </c>
      <c r="T80">
        <v>8.9309704587165199E-4</v>
      </c>
      <c r="U80">
        <v>1.15173280169556E-4</v>
      </c>
      <c r="V80">
        <v>173589.23218071499</v>
      </c>
      <c r="W80">
        <v>0.467346365303759</v>
      </c>
      <c r="Y80">
        <v>134</v>
      </c>
      <c r="Z80" t="s">
        <v>244</v>
      </c>
      <c r="AA80">
        <v>1</v>
      </c>
      <c r="AB80">
        <v>4968863273000</v>
      </c>
      <c r="AC80">
        <v>1397520037</v>
      </c>
      <c r="AD80">
        <v>227483513.46000001</v>
      </c>
      <c r="AE80">
        <v>31507542</v>
      </c>
      <c r="AF80">
        <v>2.8125548243476402E-4</v>
      </c>
      <c r="AG80" s="1">
        <v>4.5781801784747903E-5</v>
      </c>
      <c r="AH80">
        <v>157703.93237911101</v>
      </c>
      <c r="AI80">
        <v>-1.5415359329083</v>
      </c>
    </row>
    <row r="81" spans="1:35" x14ac:dyDescent="0.4">
      <c r="A81">
        <v>812</v>
      </c>
      <c r="B81" t="s">
        <v>89</v>
      </c>
      <c r="C81">
        <v>2</v>
      </c>
      <c r="D81">
        <v>565242966400</v>
      </c>
      <c r="E81">
        <v>715512928.15999997</v>
      </c>
      <c r="F81">
        <v>91500168.629999995</v>
      </c>
      <c r="G81">
        <v>10746064</v>
      </c>
      <c r="H81">
        <v>1.2658502107811399E-3</v>
      </c>
      <c r="I81">
        <v>1.6187758905300301E-4</v>
      </c>
      <c r="J81">
        <v>52600</v>
      </c>
      <c r="K81">
        <v>0.56693652833154395</v>
      </c>
      <c r="M81">
        <v>1108</v>
      </c>
      <c r="N81" t="s">
        <v>111</v>
      </c>
      <c r="O81">
        <v>1</v>
      </c>
      <c r="P81">
        <v>4390441492500</v>
      </c>
      <c r="Q81">
        <v>7356945081</v>
      </c>
      <c r="R81">
        <v>353904180.05000001</v>
      </c>
      <c r="S81">
        <v>41796270</v>
      </c>
      <c r="T81">
        <v>1.6756731853886501E-3</v>
      </c>
      <c r="U81" s="1">
        <v>8.0607879789437804E-5</v>
      </c>
      <c r="V81">
        <v>105043.85899746499</v>
      </c>
      <c r="W81">
        <v>0.465807117970786</v>
      </c>
      <c r="Y81">
        <v>1125</v>
      </c>
      <c r="Z81" t="s">
        <v>253</v>
      </c>
      <c r="AA81">
        <v>1</v>
      </c>
      <c r="AB81">
        <v>1396978800000</v>
      </c>
      <c r="AC81">
        <v>530958477</v>
      </c>
      <c r="AD81">
        <v>90756250</v>
      </c>
      <c r="AE81">
        <v>17215498</v>
      </c>
      <c r="AF81">
        <v>3.8007625956814798E-4</v>
      </c>
      <c r="AG81" s="1">
        <v>6.4966089678669399E-5</v>
      </c>
      <c r="AH81">
        <v>81146.580830830397</v>
      </c>
      <c r="AI81">
        <v>-1.7268222513401901</v>
      </c>
    </row>
    <row r="82" spans="1:35" x14ac:dyDescent="0.4">
      <c r="A82">
        <v>105</v>
      </c>
      <c r="B82" t="s">
        <v>90</v>
      </c>
      <c r="C82">
        <v>2</v>
      </c>
      <c r="D82">
        <v>898346080950</v>
      </c>
      <c r="E82">
        <v>1490213673</v>
      </c>
      <c r="F82">
        <v>126991778.52</v>
      </c>
      <c r="G82">
        <v>35595649</v>
      </c>
      <c r="H82">
        <v>1.6588414026631E-3</v>
      </c>
      <c r="I82">
        <v>1.4136175491042999E-4</v>
      </c>
      <c r="J82">
        <v>25237.524983741601</v>
      </c>
      <c r="K82">
        <v>0.56362927172245603</v>
      </c>
      <c r="M82">
        <v>408</v>
      </c>
      <c r="N82" t="s">
        <v>118</v>
      </c>
      <c r="O82">
        <v>2</v>
      </c>
      <c r="P82">
        <v>1874040000000</v>
      </c>
      <c r="Q82">
        <v>2359756000</v>
      </c>
      <c r="R82">
        <v>265053125</v>
      </c>
      <c r="S82">
        <v>34708839</v>
      </c>
      <c r="T82">
        <v>1.2591812341252E-3</v>
      </c>
      <c r="U82">
        <v>1.4143408091609499E-4</v>
      </c>
      <c r="V82">
        <v>53993.162951949998</v>
      </c>
      <c r="W82">
        <v>0.45516497437225201</v>
      </c>
      <c r="Y82">
        <v>852</v>
      </c>
      <c r="Z82" t="s">
        <v>251</v>
      </c>
      <c r="AA82">
        <v>1</v>
      </c>
      <c r="AB82">
        <v>4781375052000</v>
      </c>
      <c r="AC82">
        <v>823749217</v>
      </c>
      <c r="AD82">
        <v>198656573.28999999</v>
      </c>
      <c r="AE82">
        <v>29728393</v>
      </c>
      <c r="AF82">
        <v>1.7228291193250599E-4</v>
      </c>
      <c r="AG82" s="1">
        <v>4.1548000549947203E-5</v>
      </c>
      <c r="AH82">
        <v>160835.301524707</v>
      </c>
      <c r="AI82">
        <v>-1.74177609676051</v>
      </c>
    </row>
    <row r="83" spans="1:35" x14ac:dyDescent="0.4">
      <c r="A83">
        <v>1136</v>
      </c>
      <c r="B83" t="s">
        <v>91</v>
      </c>
      <c r="C83">
        <v>2</v>
      </c>
      <c r="D83">
        <v>414812085400</v>
      </c>
      <c r="E83">
        <v>357730092</v>
      </c>
      <c r="F83">
        <v>82791666.670000002</v>
      </c>
      <c r="G83">
        <v>8265167</v>
      </c>
      <c r="H83">
        <v>8.62390717606609E-4</v>
      </c>
      <c r="I83">
        <v>1.9958836683884099E-4</v>
      </c>
      <c r="J83">
        <v>50187.9859656798</v>
      </c>
      <c r="K83">
        <v>0.55809692604608396</v>
      </c>
      <c r="M83">
        <v>46</v>
      </c>
      <c r="N83" t="s">
        <v>110</v>
      </c>
      <c r="O83">
        <v>2</v>
      </c>
      <c r="P83">
        <v>876400371000</v>
      </c>
      <c r="Q83">
        <v>661803710</v>
      </c>
      <c r="R83">
        <v>103075000</v>
      </c>
      <c r="S83">
        <v>4666791</v>
      </c>
      <c r="T83">
        <v>7.5513855527566804E-4</v>
      </c>
      <c r="U83">
        <v>1.1761177129853099E-4</v>
      </c>
      <c r="V83">
        <v>187795.07610261501</v>
      </c>
      <c r="W83">
        <v>0.42251813432498803</v>
      </c>
      <c r="Y83">
        <v>1011</v>
      </c>
      <c r="Z83" t="s">
        <v>254</v>
      </c>
      <c r="AA83">
        <v>1</v>
      </c>
      <c r="AB83">
        <v>1823800000000</v>
      </c>
      <c r="AC83">
        <v>593494933</v>
      </c>
      <c r="AD83">
        <v>116031652.09</v>
      </c>
      <c r="AE83">
        <v>20680000</v>
      </c>
      <c r="AF83">
        <v>3.2541667562232699E-4</v>
      </c>
      <c r="AG83" s="1">
        <v>6.3620820314727499E-5</v>
      </c>
      <c r="AH83">
        <v>88191.489361702101</v>
      </c>
      <c r="AI83">
        <v>-1.7695210892861499</v>
      </c>
    </row>
    <row r="84" spans="1:35" x14ac:dyDescent="0.4">
      <c r="A84">
        <v>80</v>
      </c>
      <c r="B84" t="s">
        <v>92</v>
      </c>
      <c r="C84">
        <v>2</v>
      </c>
      <c r="D84">
        <v>1352724000000</v>
      </c>
      <c r="E84">
        <v>1236931257</v>
      </c>
      <c r="F84">
        <v>166450000</v>
      </c>
      <c r="G84">
        <v>7731850</v>
      </c>
      <c r="H84">
        <v>9.1440031891206104E-4</v>
      </c>
      <c r="I84">
        <v>1.2304801275056799E-4</v>
      </c>
      <c r="J84">
        <v>174954.76503036101</v>
      </c>
      <c r="K84">
        <v>0.54863138262090505</v>
      </c>
      <c r="M84">
        <v>1112</v>
      </c>
      <c r="N84" t="s">
        <v>115</v>
      </c>
      <c r="O84">
        <v>2</v>
      </c>
      <c r="P84">
        <v>1064213749500</v>
      </c>
      <c r="Q84">
        <v>1037481277.5700001</v>
      </c>
      <c r="R84">
        <v>138562500</v>
      </c>
      <c r="S84">
        <v>8753894</v>
      </c>
      <c r="T84">
        <v>9.7488054261415003E-4</v>
      </c>
      <c r="U84">
        <v>1.3020175699205201E-4</v>
      </c>
      <c r="V84">
        <v>121570.32624566799</v>
      </c>
      <c r="W84">
        <v>0.407701096186733</v>
      </c>
      <c r="Y84">
        <v>512</v>
      </c>
      <c r="Z84" t="s">
        <v>250</v>
      </c>
      <c r="AA84">
        <v>1</v>
      </c>
      <c r="AB84">
        <v>6645095226000</v>
      </c>
      <c r="AC84">
        <v>589340044</v>
      </c>
      <c r="AD84">
        <v>33475000</v>
      </c>
      <c r="AE84">
        <v>27619671</v>
      </c>
      <c r="AF84" s="1">
        <v>8.8687975710884104E-5</v>
      </c>
      <c r="AG84" s="1">
        <v>5.0375500819045697E-6</v>
      </c>
      <c r="AH84">
        <v>240592.845077698</v>
      </c>
      <c r="AI84">
        <v>-1.7832758069783201</v>
      </c>
    </row>
    <row r="85" spans="1:35" x14ac:dyDescent="0.4">
      <c r="A85">
        <v>833</v>
      </c>
      <c r="B85" t="s">
        <v>93</v>
      </c>
      <c r="C85">
        <v>3</v>
      </c>
      <c r="D85">
        <v>291852000000</v>
      </c>
      <c r="E85">
        <v>409916392</v>
      </c>
      <c r="F85">
        <v>46170967.5</v>
      </c>
      <c r="G85">
        <v>8470000</v>
      </c>
      <c r="H85">
        <v>1.4045351479517001E-3</v>
      </c>
      <c r="I85">
        <v>1.5819993524114899E-4</v>
      </c>
      <c r="J85">
        <v>34457.142857142797</v>
      </c>
      <c r="K85">
        <v>0.54511085545327098</v>
      </c>
      <c r="M85">
        <v>168</v>
      </c>
      <c r="N85" t="s">
        <v>114</v>
      </c>
      <c r="O85">
        <v>2</v>
      </c>
      <c r="P85">
        <v>1465824979600</v>
      </c>
      <c r="Q85">
        <v>1099616742</v>
      </c>
      <c r="R85">
        <v>163294068.81</v>
      </c>
      <c r="S85">
        <v>7592914</v>
      </c>
      <c r="T85">
        <v>7.5016919298241701E-4</v>
      </c>
      <c r="U85">
        <v>1.1140079551281699E-4</v>
      </c>
      <c r="V85">
        <v>193051.70315375601</v>
      </c>
      <c r="W85">
        <v>0.35243323978377</v>
      </c>
      <c r="Y85">
        <v>927</v>
      </c>
      <c r="Z85" t="s">
        <v>257</v>
      </c>
      <c r="AA85">
        <v>1</v>
      </c>
      <c r="AB85">
        <v>6480026001000</v>
      </c>
      <c r="AC85">
        <v>1709092019</v>
      </c>
      <c r="AD85">
        <v>341344082.16000003</v>
      </c>
      <c r="AE85">
        <v>60064361</v>
      </c>
      <c r="AF85">
        <v>2.6374771007651001E-4</v>
      </c>
      <c r="AG85" s="1">
        <v>5.2676344525056401E-5</v>
      </c>
      <c r="AH85">
        <v>107884.70722264001</v>
      </c>
      <c r="AI85">
        <v>-1.8702632060225</v>
      </c>
    </row>
    <row r="86" spans="1:35" x14ac:dyDescent="0.4">
      <c r="A86">
        <v>14</v>
      </c>
      <c r="B86" t="s">
        <v>94</v>
      </c>
      <c r="C86">
        <v>2</v>
      </c>
      <c r="D86">
        <v>2506854789200</v>
      </c>
      <c r="E86">
        <v>2448974999</v>
      </c>
      <c r="F86">
        <v>492138643.58999997</v>
      </c>
      <c r="G86">
        <v>69584788</v>
      </c>
      <c r="H86">
        <v>9.7691139093921309E-4</v>
      </c>
      <c r="I86">
        <v>1.9631717230300899E-4</v>
      </c>
      <c r="J86">
        <v>36025.9025176594</v>
      </c>
      <c r="K86">
        <v>0.54383852127533305</v>
      </c>
      <c r="M86">
        <v>6</v>
      </c>
      <c r="N86" t="s">
        <v>122</v>
      </c>
      <c r="O86">
        <v>2</v>
      </c>
      <c r="P86">
        <v>1180648171700</v>
      </c>
      <c r="Q86">
        <v>1360493467.9300001</v>
      </c>
      <c r="R86">
        <v>140262851.38</v>
      </c>
      <c r="S86">
        <v>11148029</v>
      </c>
      <c r="T86">
        <v>1.1523275947406401E-3</v>
      </c>
      <c r="U86">
        <v>1.1880156573489401E-4</v>
      </c>
      <c r="V86">
        <v>105906.449624413</v>
      </c>
      <c r="W86">
        <v>0.34476393966040902</v>
      </c>
      <c r="Y86">
        <v>410</v>
      </c>
      <c r="Z86" t="s">
        <v>258</v>
      </c>
      <c r="AA86">
        <v>1</v>
      </c>
      <c r="AB86">
        <v>2121106647000</v>
      </c>
      <c r="AC86">
        <v>982927563</v>
      </c>
      <c r="AD86">
        <v>75339474.540000007</v>
      </c>
      <c r="AE86">
        <v>20235562</v>
      </c>
      <c r="AF86">
        <v>4.6340317889730299E-4</v>
      </c>
      <c r="AG86" s="1">
        <v>3.55189469829613E-5</v>
      </c>
      <c r="AH86">
        <v>104820.743155045</v>
      </c>
      <c r="AI86">
        <v>-1.87740093426605</v>
      </c>
    </row>
    <row r="87" spans="1:35" x14ac:dyDescent="0.4">
      <c r="A87">
        <v>1059</v>
      </c>
      <c r="B87" t="s">
        <v>95</v>
      </c>
      <c r="C87">
        <v>3</v>
      </c>
      <c r="D87">
        <v>309025796000</v>
      </c>
      <c r="E87">
        <v>278472574</v>
      </c>
      <c r="F87">
        <v>62755793.939999998</v>
      </c>
      <c r="G87">
        <v>8709100</v>
      </c>
      <c r="H87">
        <v>9.01130512742049E-4</v>
      </c>
      <c r="I87">
        <v>2.03076231021179E-4</v>
      </c>
      <c r="J87">
        <v>35483.091938317302</v>
      </c>
      <c r="K87">
        <v>0.53612454370150797</v>
      </c>
      <c r="M87">
        <v>264</v>
      </c>
      <c r="N87" t="s">
        <v>106</v>
      </c>
      <c r="O87">
        <v>2</v>
      </c>
      <c r="P87">
        <v>578298000000</v>
      </c>
      <c r="Q87">
        <v>206091934</v>
      </c>
      <c r="R87">
        <v>30659000</v>
      </c>
      <c r="S87">
        <v>1556500</v>
      </c>
      <c r="T87">
        <v>3.5637670197718102E-4</v>
      </c>
      <c r="U87" s="1">
        <v>5.30159191282003E-5</v>
      </c>
      <c r="V87">
        <v>371537.42370703502</v>
      </c>
      <c r="W87">
        <v>0.26877487629740898</v>
      </c>
      <c r="Y87">
        <v>888</v>
      </c>
      <c r="Z87" t="s">
        <v>260</v>
      </c>
      <c r="AA87">
        <v>1</v>
      </c>
      <c r="AB87">
        <v>1840659600000</v>
      </c>
      <c r="AC87">
        <v>784557088</v>
      </c>
      <c r="AD87">
        <v>105821711.94</v>
      </c>
      <c r="AE87">
        <v>30383618</v>
      </c>
      <c r="AF87">
        <v>4.2623692506751302E-4</v>
      </c>
      <c r="AG87" s="1">
        <v>5.7491190625360598E-5</v>
      </c>
      <c r="AH87">
        <v>60580.658959048204</v>
      </c>
      <c r="AI87">
        <v>-1.9488060062642401</v>
      </c>
    </row>
    <row r="88" spans="1:35" x14ac:dyDescent="0.4">
      <c r="A88">
        <v>909</v>
      </c>
      <c r="B88" t="s">
        <v>96</v>
      </c>
      <c r="C88">
        <v>2</v>
      </c>
      <c r="D88">
        <v>416056784700</v>
      </c>
      <c r="E88">
        <v>730494085</v>
      </c>
      <c r="F88">
        <v>55250000</v>
      </c>
      <c r="G88">
        <v>20405040</v>
      </c>
      <c r="H88">
        <v>1.7557557330226601E-3</v>
      </c>
      <c r="I88">
        <v>1.32794373344586E-4</v>
      </c>
      <c r="J88">
        <v>20389.902921043002</v>
      </c>
      <c r="K88">
        <v>0.52371868767754803</v>
      </c>
      <c r="M88">
        <v>467</v>
      </c>
      <c r="N88" t="s">
        <v>128</v>
      </c>
      <c r="O88">
        <v>2</v>
      </c>
      <c r="P88">
        <v>320746003200</v>
      </c>
      <c r="Q88">
        <v>430273063</v>
      </c>
      <c r="R88">
        <v>41851699.829999998</v>
      </c>
      <c r="S88">
        <v>8715924</v>
      </c>
      <c r="T88">
        <v>1.3414759925526E-3</v>
      </c>
      <c r="U88">
        <v>1.3048237363039999E-4</v>
      </c>
      <c r="V88">
        <v>36800</v>
      </c>
      <c r="W88">
        <v>0.243642007337463</v>
      </c>
      <c r="Y88">
        <v>440</v>
      </c>
      <c r="Z88" t="s">
        <v>262</v>
      </c>
      <c r="AA88">
        <v>1</v>
      </c>
      <c r="AB88">
        <v>3788400000000</v>
      </c>
      <c r="AC88">
        <v>1795385648</v>
      </c>
      <c r="AD88">
        <v>201097540.19</v>
      </c>
      <c r="AE88">
        <v>65450000</v>
      </c>
      <c r="AF88">
        <v>4.7391660014781898E-4</v>
      </c>
      <c r="AG88" s="1">
        <v>5.3082446465526297E-5</v>
      </c>
      <c r="AH88">
        <v>57882.352941176403</v>
      </c>
      <c r="AI88">
        <v>-1.9717584330645299</v>
      </c>
    </row>
    <row r="89" spans="1:35" x14ac:dyDescent="0.4">
      <c r="A89">
        <v>1028</v>
      </c>
      <c r="B89" t="s">
        <v>97</v>
      </c>
      <c r="C89">
        <v>1</v>
      </c>
      <c r="D89">
        <v>5002732800000</v>
      </c>
      <c r="E89">
        <v>10221942955</v>
      </c>
      <c r="F89">
        <v>480697916.67000002</v>
      </c>
      <c r="G89">
        <v>135250245</v>
      </c>
      <c r="H89">
        <v>2.0432718203538601E-3</v>
      </c>
      <c r="I89" s="1">
        <v>9.6087065987214001E-5</v>
      </c>
      <c r="J89">
        <v>36988.7152514954</v>
      </c>
      <c r="K89">
        <v>0.50836724023889401</v>
      </c>
      <c r="M89">
        <v>624</v>
      </c>
      <c r="N89" t="s">
        <v>129</v>
      </c>
      <c r="O89">
        <v>2</v>
      </c>
      <c r="P89">
        <v>1062227906500</v>
      </c>
      <c r="Q89">
        <v>1520680176</v>
      </c>
      <c r="R89">
        <v>128160194.95999999</v>
      </c>
      <c r="S89">
        <v>27381206</v>
      </c>
      <c r="T89">
        <v>1.43159501524544E-3</v>
      </c>
      <c r="U89">
        <v>1.20652257557686E-4</v>
      </c>
      <c r="V89">
        <v>38794.051164145203</v>
      </c>
      <c r="W89">
        <v>0.22650075592332899</v>
      </c>
      <c r="Y89">
        <v>910</v>
      </c>
      <c r="Z89" s="2" t="s">
        <v>265</v>
      </c>
      <c r="AA89">
        <v>1</v>
      </c>
      <c r="AB89">
        <v>17161562125000</v>
      </c>
      <c r="AC89">
        <v>6370617458</v>
      </c>
      <c r="AD89">
        <v>1134447406.77</v>
      </c>
      <c r="AE89">
        <v>428284033</v>
      </c>
      <c r="AF89">
        <v>3.7121431088838001E-4</v>
      </c>
      <c r="AG89" s="1">
        <v>6.6103971101640006E-5</v>
      </c>
      <c r="AH89">
        <v>40070.515832188401</v>
      </c>
      <c r="AI89">
        <v>-2.0620300906272702</v>
      </c>
    </row>
    <row r="90" spans="1:35" x14ac:dyDescent="0.4">
      <c r="A90">
        <v>427</v>
      </c>
      <c r="B90" t="s">
        <v>98</v>
      </c>
      <c r="C90">
        <v>2</v>
      </c>
      <c r="D90">
        <v>1387750000000</v>
      </c>
      <c r="E90">
        <v>1146422012</v>
      </c>
      <c r="F90">
        <v>257477997.22999999</v>
      </c>
      <c r="G90">
        <v>18528300</v>
      </c>
      <c r="H90">
        <v>8.2610125166636601E-4</v>
      </c>
      <c r="I90">
        <v>1.8553629776977101E-4</v>
      </c>
      <c r="J90">
        <v>74898.938380747204</v>
      </c>
      <c r="K90">
        <v>0.50538318410344596</v>
      </c>
      <c r="M90">
        <v>991</v>
      </c>
      <c r="N90" t="s">
        <v>133</v>
      </c>
      <c r="O90">
        <v>1</v>
      </c>
      <c r="P90">
        <v>2405866859550</v>
      </c>
      <c r="Q90">
        <v>3222417310</v>
      </c>
      <c r="R90">
        <v>297015140.12</v>
      </c>
      <c r="S90">
        <v>52738513</v>
      </c>
      <c r="T90">
        <v>1.3393996834067199E-3</v>
      </c>
      <c r="U90">
        <v>1.23454520744158E-4</v>
      </c>
      <c r="V90">
        <v>45618.784502892602</v>
      </c>
      <c r="W90">
        <v>0.19410223402273299</v>
      </c>
      <c r="Y90">
        <v>664</v>
      </c>
      <c r="Z90" t="s">
        <v>264</v>
      </c>
      <c r="AA90">
        <v>1</v>
      </c>
      <c r="AB90">
        <v>3856916567000</v>
      </c>
      <c r="AC90">
        <v>1029910617</v>
      </c>
      <c r="AD90">
        <v>179276420.56</v>
      </c>
      <c r="AE90">
        <v>40572287</v>
      </c>
      <c r="AF90">
        <v>2.6702952970566503E-4</v>
      </c>
      <c r="AG90" s="1">
        <v>4.6481798982612003E-5</v>
      </c>
      <c r="AH90">
        <v>95062.833578989506</v>
      </c>
      <c r="AI90">
        <v>-2.0702277391036499</v>
      </c>
    </row>
    <row r="91" spans="1:35" x14ac:dyDescent="0.4">
      <c r="A91">
        <v>1008</v>
      </c>
      <c r="B91" t="s">
        <v>99</v>
      </c>
      <c r="C91">
        <v>1</v>
      </c>
      <c r="D91">
        <v>5031478324400</v>
      </c>
      <c r="E91">
        <v>6530126000</v>
      </c>
      <c r="F91">
        <v>823546623.80999994</v>
      </c>
      <c r="G91">
        <v>139343243</v>
      </c>
      <c r="H91">
        <v>1.2978543439872E-3</v>
      </c>
      <c r="I91">
        <v>1.6367885752706799E-4</v>
      </c>
      <c r="J91">
        <v>36108.520342102202</v>
      </c>
      <c r="K91">
        <v>0.49138147369868901</v>
      </c>
      <c r="M91">
        <v>970</v>
      </c>
      <c r="N91" t="s">
        <v>130</v>
      </c>
      <c r="O91">
        <v>2</v>
      </c>
      <c r="P91">
        <v>730261911600</v>
      </c>
      <c r="Q91">
        <v>976565768</v>
      </c>
      <c r="R91">
        <v>86123485.189999998</v>
      </c>
      <c r="S91">
        <v>12802906</v>
      </c>
      <c r="T91">
        <v>1.3372815321291301E-3</v>
      </c>
      <c r="U91">
        <v>1.1793506387496399E-4</v>
      </c>
      <c r="V91">
        <v>57038.762262255099</v>
      </c>
      <c r="W91">
        <v>0.192689198252329</v>
      </c>
      <c r="Y91">
        <v>922</v>
      </c>
      <c r="Z91" t="s">
        <v>266</v>
      </c>
      <c r="AA91">
        <v>1</v>
      </c>
      <c r="AB91">
        <v>8407861650000</v>
      </c>
      <c r="AC91">
        <v>3071861977</v>
      </c>
      <c r="AD91">
        <v>541725813.75</v>
      </c>
      <c r="AE91">
        <v>198684218</v>
      </c>
      <c r="AF91">
        <v>3.6535591389042399E-4</v>
      </c>
      <c r="AG91" s="1">
        <v>6.4430866765035307E-5</v>
      </c>
      <c r="AH91">
        <v>42317.712673082002</v>
      </c>
      <c r="AI91">
        <v>-2.0785530849232599</v>
      </c>
    </row>
    <row r="92" spans="1:35" x14ac:dyDescent="0.4">
      <c r="A92">
        <v>364</v>
      </c>
      <c r="B92" t="s">
        <v>100</v>
      </c>
      <c r="C92">
        <v>1</v>
      </c>
      <c r="D92">
        <v>19791411545000</v>
      </c>
      <c r="E92">
        <v>41500566100</v>
      </c>
      <c r="F92">
        <v>1785501474.24</v>
      </c>
      <c r="G92">
        <v>599968175</v>
      </c>
      <c r="H92">
        <v>2.0968977379728299E-3</v>
      </c>
      <c r="I92" s="1">
        <v>9.0215974246216906E-5</v>
      </c>
      <c r="J92">
        <v>32987.435616897499</v>
      </c>
      <c r="K92">
        <v>0.45590792497945498</v>
      </c>
      <c r="M92">
        <v>1079</v>
      </c>
      <c r="N92" t="s">
        <v>123</v>
      </c>
      <c r="O92">
        <v>1</v>
      </c>
      <c r="P92">
        <v>1641739889400</v>
      </c>
      <c r="Q92">
        <v>1198802546</v>
      </c>
      <c r="R92">
        <v>174638866.38999999</v>
      </c>
      <c r="S92">
        <v>8862236</v>
      </c>
      <c r="T92">
        <v>7.3020248441311899E-4</v>
      </c>
      <c r="U92">
        <v>1.06374260330498E-4</v>
      </c>
      <c r="V92">
        <v>185251.20403022401</v>
      </c>
      <c r="W92">
        <v>0.169152266548176</v>
      </c>
      <c r="Y92">
        <v>349</v>
      </c>
      <c r="Z92" t="s">
        <v>268</v>
      </c>
      <c r="AA92">
        <v>1</v>
      </c>
      <c r="AB92">
        <v>1410843410000</v>
      </c>
      <c r="AC92">
        <v>744567910</v>
      </c>
      <c r="AD92">
        <v>15325000</v>
      </c>
      <c r="AE92">
        <v>13480257</v>
      </c>
      <c r="AF92">
        <v>5.27746668923378E-4</v>
      </c>
      <c r="AG92" s="1">
        <v>1.08622969008304E-5</v>
      </c>
      <c r="AH92">
        <v>104659.97866361099</v>
      </c>
      <c r="AI92">
        <v>-2.17699257241653</v>
      </c>
    </row>
    <row r="93" spans="1:35" x14ac:dyDescent="0.4">
      <c r="A93">
        <v>73</v>
      </c>
      <c r="B93" t="s">
        <v>101</v>
      </c>
      <c r="C93">
        <v>1</v>
      </c>
      <c r="D93">
        <v>5608537601800</v>
      </c>
      <c r="E93">
        <v>3679353019</v>
      </c>
      <c r="F93">
        <v>835693055.55999994</v>
      </c>
      <c r="G93">
        <v>35318944</v>
      </c>
      <c r="H93">
        <v>6.5602716433944396E-4</v>
      </c>
      <c r="I93">
        <v>1.4900373589218501E-4</v>
      </c>
      <c r="J93">
        <v>158796.86555181199</v>
      </c>
      <c r="K93">
        <v>0.43758803018169801</v>
      </c>
      <c r="M93">
        <v>1041</v>
      </c>
      <c r="N93" t="s">
        <v>134</v>
      </c>
      <c r="O93">
        <v>2</v>
      </c>
      <c r="P93">
        <v>647666000000</v>
      </c>
      <c r="Q93">
        <v>1028964864</v>
      </c>
      <c r="R93">
        <v>64734129.130000003</v>
      </c>
      <c r="S93">
        <v>14620000</v>
      </c>
      <c r="T93">
        <v>1.5887276219532899E-3</v>
      </c>
      <c r="U93" s="1">
        <v>9.9949864791420198E-5</v>
      </c>
      <c r="V93">
        <v>44300</v>
      </c>
      <c r="W93">
        <v>0.15231983078288799</v>
      </c>
      <c r="Y93">
        <v>954</v>
      </c>
      <c r="Z93" t="s">
        <v>269</v>
      </c>
      <c r="AA93">
        <v>1</v>
      </c>
      <c r="AB93">
        <v>2601000000000</v>
      </c>
      <c r="AC93">
        <v>748899609</v>
      </c>
      <c r="AD93">
        <v>155897377.16</v>
      </c>
      <c r="AE93">
        <v>76050000</v>
      </c>
      <c r="AF93">
        <v>2.8792756978085298E-4</v>
      </c>
      <c r="AG93" s="1">
        <v>5.9937476801230197E-5</v>
      </c>
      <c r="AH93">
        <v>34201.183431952602</v>
      </c>
      <c r="AI93">
        <v>-2.3301407781526899</v>
      </c>
    </row>
    <row r="94" spans="1:35" x14ac:dyDescent="0.4">
      <c r="A94">
        <v>600</v>
      </c>
      <c r="B94" t="s">
        <v>102</v>
      </c>
      <c r="C94">
        <v>1</v>
      </c>
      <c r="D94">
        <v>10214074862000</v>
      </c>
      <c r="E94">
        <v>8207779513</v>
      </c>
      <c r="F94">
        <v>1601147239.73</v>
      </c>
      <c r="G94">
        <v>84230078</v>
      </c>
      <c r="H94">
        <v>8.0357542155245598E-4</v>
      </c>
      <c r="I94">
        <v>1.5675890977525901E-4</v>
      </c>
      <c r="J94">
        <v>121263.98436909899</v>
      </c>
      <c r="K94">
        <v>0.43476405240442501</v>
      </c>
      <c r="M94">
        <v>648</v>
      </c>
      <c r="N94" t="s">
        <v>137</v>
      </c>
      <c r="O94">
        <v>1</v>
      </c>
      <c r="P94">
        <v>26769562325000</v>
      </c>
      <c r="Q94">
        <v>26861222000</v>
      </c>
      <c r="R94">
        <v>3468701979.8200002</v>
      </c>
      <c r="S94">
        <v>330973328</v>
      </c>
      <c r="T94">
        <v>1.00342402590999E-3</v>
      </c>
      <c r="U94">
        <v>1.2957634262778301E-4</v>
      </c>
      <c r="V94">
        <v>80881.328071849901</v>
      </c>
      <c r="W94">
        <v>9.3766534221524395E-2</v>
      </c>
      <c r="Y94">
        <v>793</v>
      </c>
      <c r="Z94" t="s">
        <v>270</v>
      </c>
      <c r="AA94">
        <v>1</v>
      </c>
      <c r="AB94">
        <v>6619120000000</v>
      </c>
      <c r="AC94">
        <v>1750448143</v>
      </c>
      <c r="AD94">
        <v>358866673.66000003</v>
      </c>
      <c r="AE94">
        <v>156937200</v>
      </c>
      <c r="AF94">
        <v>2.6445330240273599E-4</v>
      </c>
      <c r="AG94" s="1">
        <v>5.4216674370611203E-5</v>
      </c>
      <c r="AH94">
        <v>42176.870748299298</v>
      </c>
      <c r="AI94">
        <v>-2.3892376579282502</v>
      </c>
    </row>
    <row r="95" spans="1:35" x14ac:dyDescent="0.4">
      <c r="A95">
        <v>258</v>
      </c>
      <c r="B95" t="s">
        <v>103</v>
      </c>
      <c r="C95">
        <v>2</v>
      </c>
      <c r="D95">
        <v>1402300201400</v>
      </c>
      <c r="E95">
        <v>2148702627</v>
      </c>
      <c r="F95">
        <v>195199271.68000001</v>
      </c>
      <c r="G95">
        <v>40204191</v>
      </c>
      <c r="H95">
        <v>1.53227006945789E-3</v>
      </c>
      <c r="I95">
        <v>1.39199346534444E-4</v>
      </c>
      <c r="J95">
        <v>34879.453273913598</v>
      </c>
      <c r="K95">
        <v>0.43086527620127002</v>
      </c>
      <c r="M95">
        <v>976</v>
      </c>
      <c r="N95" t="s">
        <v>140</v>
      </c>
      <c r="O95">
        <v>2</v>
      </c>
      <c r="P95">
        <v>696061273600</v>
      </c>
      <c r="Q95">
        <v>675920851</v>
      </c>
      <c r="R95">
        <v>103050825.40000001</v>
      </c>
      <c r="S95">
        <v>14335386</v>
      </c>
      <c r="T95">
        <v>9.7106515853721505E-4</v>
      </c>
      <c r="U95">
        <v>1.4804849703392499E-4</v>
      </c>
      <c r="V95">
        <v>48555.460843537803</v>
      </c>
      <c r="W95">
        <v>8.9211814144588605E-2</v>
      </c>
      <c r="Y95">
        <v>809</v>
      </c>
      <c r="Z95" t="s">
        <v>272</v>
      </c>
      <c r="AA95">
        <v>1</v>
      </c>
      <c r="AB95">
        <v>7357705538400</v>
      </c>
      <c r="AC95">
        <v>1128646599</v>
      </c>
      <c r="AD95">
        <v>349550836.91000003</v>
      </c>
      <c r="AE95">
        <v>208032045</v>
      </c>
      <c r="AF95">
        <v>1.53396543679218E-4</v>
      </c>
      <c r="AG95" s="1">
        <v>4.7508130773335201E-5</v>
      </c>
      <c r="AH95">
        <v>35368.135415868201</v>
      </c>
      <c r="AI95">
        <v>-2.7142368342635099</v>
      </c>
    </row>
    <row r="96" spans="1:35" x14ac:dyDescent="0.4">
      <c r="A96">
        <v>930</v>
      </c>
      <c r="B96" t="s">
        <v>104</v>
      </c>
      <c r="C96">
        <v>2</v>
      </c>
      <c r="D96">
        <v>697021785000</v>
      </c>
      <c r="E96">
        <v>980020087</v>
      </c>
      <c r="F96">
        <v>71112469.930000007</v>
      </c>
      <c r="G96">
        <v>5808515</v>
      </c>
      <c r="H96">
        <v>1.4060106987904199E-3</v>
      </c>
      <c r="I96">
        <v>1.0202331040485299E-4</v>
      </c>
      <c r="J96">
        <v>119999.997417584</v>
      </c>
      <c r="K96">
        <v>0.428551932786149</v>
      </c>
      <c r="M96">
        <v>497</v>
      </c>
      <c r="N96" t="s">
        <v>149</v>
      </c>
      <c r="O96">
        <v>2</v>
      </c>
      <c r="P96">
        <v>1668705474240</v>
      </c>
      <c r="Q96">
        <v>1753090346.1400001</v>
      </c>
      <c r="R96">
        <v>257825000</v>
      </c>
      <c r="S96">
        <v>104305466</v>
      </c>
      <c r="T96">
        <v>1.0505690627870799E-3</v>
      </c>
      <c r="U96">
        <v>1.54505995204111E-4</v>
      </c>
      <c r="V96">
        <v>15998.2552998708</v>
      </c>
      <c r="W96">
        <v>4.3592376486032598E-2</v>
      </c>
    </row>
    <row r="97" spans="1:23" x14ac:dyDescent="0.4">
      <c r="A97">
        <v>962</v>
      </c>
      <c r="B97" t="s">
        <v>105</v>
      </c>
      <c r="C97">
        <v>1</v>
      </c>
      <c r="D97">
        <v>19039113418050</v>
      </c>
      <c r="E97">
        <v>30467514000</v>
      </c>
      <c r="F97">
        <v>2518817736.4099998</v>
      </c>
      <c r="G97">
        <v>569039504</v>
      </c>
      <c r="H97">
        <v>1.6002590735719501E-3</v>
      </c>
      <c r="I97">
        <v>1.32297007801951E-4</v>
      </c>
      <c r="J97">
        <v>33458.333356852498</v>
      </c>
      <c r="K97">
        <v>0.40670083658802902</v>
      </c>
      <c r="M97">
        <v>5</v>
      </c>
      <c r="N97" t="s">
        <v>148</v>
      </c>
      <c r="O97">
        <v>2</v>
      </c>
      <c r="P97">
        <v>1699205200000</v>
      </c>
      <c r="Q97">
        <v>2004032796.72</v>
      </c>
      <c r="R97">
        <v>230673953.44999999</v>
      </c>
      <c r="S97">
        <v>60167577</v>
      </c>
      <c r="T97">
        <v>1.1793942230873501E-3</v>
      </c>
      <c r="U97">
        <v>1.3575402985466299E-4</v>
      </c>
      <c r="V97">
        <v>28241.210378141001</v>
      </c>
      <c r="W97">
        <v>1.7781356855102699E-2</v>
      </c>
    </row>
    <row r="98" spans="1:23" x14ac:dyDescent="0.4">
      <c r="A98">
        <v>264</v>
      </c>
      <c r="B98" t="s">
        <v>106</v>
      </c>
      <c r="C98">
        <v>2</v>
      </c>
      <c r="D98">
        <v>578298000000</v>
      </c>
      <c r="E98">
        <v>206091934</v>
      </c>
      <c r="F98">
        <v>30659000</v>
      </c>
      <c r="G98">
        <v>1556500</v>
      </c>
      <c r="H98">
        <v>3.5637670197718102E-4</v>
      </c>
      <c r="I98" s="1">
        <v>5.30159191282003E-5</v>
      </c>
      <c r="J98">
        <v>371537.42370703502</v>
      </c>
      <c r="K98">
        <v>0.40567415383795502</v>
      </c>
      <c r="M98">
        <v>889</v>
      </c>
      <c r="N98" t="s">
        <v>141</v>
      </c>
      <c r="O98">
        <v>1</v>
      </c>
      <c r="P98">
        <v>8329466675200</v>
      </c>
      <c r="Q98">
        <v>11122258000</v>
      </c>
      <c r="R98">
        <v>850828869.42999995</v>
      </c>
      <c r="S98">
        <v>122424900</v>
      </c>
      <c r="T98">
        <v>1.3352905334401699E-3</v>
      </c>
      <c r="U98">
        <v>1.02146860370213E-4</v>
      </c>
      <c r="V98">
        <v>68037.357393798098</v>
      </c>
      <c r="W98">
        <v>1.04562114386376E-2</v>
      </c>
    </row>
    <row r="99" spans="1:23" x14ac:dyDescent="0.4">
      <c r="A99">
        <v>1089</v>
      </c>
      <c r="B99" t="s">
        <v>107</v>
      </c>
      <c r="C99">
        <v>2</v>
      </c>
      <c r="D99">
        <v>2180212882800</v>
      </c>
      <c r="E99">
        <v>1947141685</v>
      </c>
      <c r="F99">
        <v>251102269.18000001</v>
      </c>
      <c r="G99">
        <v>12559609</v>
      </c>
      <c r="H99">
        <v>8.9309704587165199E-4</v>
      </c>
      <c r="I99">
        <v>1.15173280169556E-4</v>
      </c>
      <c r="J99">
        <v>173589.23218071499</v>
      </c>
      <c r="K99">
        <v>0.37762724139653098</v>
      </c>
      <c r="M99">
        <v>931</v>
      </c>
      <c r="N99" t="s">
        <v>142</v>
      </c>
      <c r="O99">
        <v>1</v>
      </c>
      <c r="P99">
        <v>2600003565250</v>
      </c>
      <c r="Q99">
        <v>3556593738</v>
      </c>
      <c r="R99">
        <v>260692186.66999999</v>
      </c>
      <c r="S99">
        <v>39802356</v>
      </c>
      <c r="T99">
        <v>1.36791879270289E-3</v>
      </c>
      <c r="U99">
        <v>1.0026608815243399E-4</v>
      </c>
      <c r="V99">
        <v>65322.8558945103</v>
      </c>
      <c r="W99">
        <v>4.0158106853680998E-3</v>
      </c>
    </row>
    <row r="100" spans="1:23" x14ac:dyDescent="0.4">
      <c r="A100">
        <v>135</v>
      </c>
      <c r="B100" t="s">
        <v>108</v>
      </c>
      <c r="C100">
        <v>3</v>
      </c>
      <c r="D100">
        <v>110706750000</v>
      </c>
      <c r="E100">
        <v>47831567</v>
      </c>
      <c r="F100">
        <v>14750000</v>
      </c>
      <c r="G100">
        <v>513044</v>
      </c>
      <c r="H100">
        <v>4.3205646448838899E-4</v>
      </c>
      <c r="I100">
        <v>1.3323487501891199E-4</v>
      </c>
      <c r="J100">
        <v>215784.123778857</v>
      </c>
      <c r="K100">
        <v>0.37753477131733698</v>
      </c>
      <c r="M100">
        <v>596</v>
      </c>
      <c r="N100" t="s">
        <v>131</v>
      </c>
      <c r="O100">
        <v>1</v>
      </c>
      <c r="P100">
        <v>1853134478100</v>
      </c>
      <c r="Q100">
        <v>1685441625</v>
      </c>
      <c r="R100">
        <v>114399844.11</v>
      </c>
      <c r="S100">
        <v>8282577</v>
      </c>
      <c r="T100">
        <v>9.0950853535900198E-4</v>
      </c>
      <c r="U100" s="1">
        <v>6.1733158312014594E-5</v>
      </c>
      <c r="V100">
        <v>223738.877175545</v>
      </c>
      <c r="W100">
        <v>-4.6899818845068603E-3</v>
      </c>
    </row>
    <row r="101" spans="1:23" x14ac:dyDescent="0.4">
      <c r="A101">
        <v>237</v>
      </c>
      <c r="B101" t="s">
        <v>109</v>
      </c>
      <c r="C101">
        <v>2</v>
      </c>
      <c r="D101">
        <v>1691779589500</v>
      </c>
      <c r="E101">
        <v>3336258154</v>
      </c>
      <c r="F101">
        <v>178406250</v>
      </c>
      <c r="G101">
        <v>109948192</v>
      </c>
      <c r="H101">
        <v>1.9720406693084702E-3</v>
      </c>
      <c r="I101">
        <v>1.0545478329876701E-4</v>
      </c>
      <c r="J101">
        <v>15387.0614761905</v>
      </c>
      <c r="K101">
        <v>0.35559663506029199</v>
      </c>
      <c r="M101">
        <v>1116</v>
      </c>
      <c r="N101" t="s">
        <v>139</v>
      </c>
      <c r="O101">
        <v>1</v>
      </c>
      <c r="P101">
        <v>7358179098600</v>
      </c>
      <c r="Q101">
        <v>5483825614</v>
      </c>
      <c r="R101">
        <v>830817650</v>
      </c>
      <c r="S101">
        <v>49541072</v>
      </c>
      <c r="T101">
        <v>7.4526938533520798E-4</v>
      </c>
      <c r="U101">
        <v>1.12910767578092E-4</v>
      </c>
      <c r="V101">
        <v>148526.84452609299</v>
      </c>
      <c r="W101">
        <v>-7.6102385781118796E-3</v>
      </c>
    </row>
    <row r="102" spans="1:23" x14ac:dyDescent="0.4">
      <c r="A102">
        <v>46</v>
      </c>
      <c r="B102" t="s">
        <v>110</v>
      </c>
      <c r="C102">
        <v>2</v>
      </c>
      <c r="D102">
        <v>876400371000</v>
      </c>
      <c r="E102">
        <v>661803710</v>
      </c>
      <c r="F102">
        <v>103075000</v>
      </c>
      <c r="G102">
        <v>4666791</v>
      </c>
      <c r="H102">
        <v>7.5513855527566804E-4</v>
      </c>
      <c r="I102">
        <v>1.1761177129853099E-4</v>
      </c>
      <c r="J102">
        <v>187795.07610261501</v>
      </c>
      <c r="K102">
        <v>0.34429635458157198</v>
      </c>
      <c r="M102">
        <v>22</v>
      </c>
      <c r="N102" t="s">
        <v>144</v>
      </c>
      <c r="O102">
        <v>2</v>
      </c>
      <c r="P102">
        <v>2134812970350</v>
      </c>
      <c r="Q102">
        <v>2648970036</v>
      </c>
      <c r="R102">
        <v>221633333.33000001</v>
      </c>
      <c r="S102">
        <v>27508525</v>
      </c>
      <c r="T102">
        <v>1.2408440799222299E-3</v>
      </c>
      <c r="U102">
        <v>1.0381861849643101E-4</v>
      </c>
      <c r="V102">
        <v>77605.504851677804</v>
      </c>
      <c r="W102">
        <v>-2.15294047074116E-2</v>
      </c>
    </row>
    <row r="103" spans="1:23" x14ac:dyDescent="0.4">
      <c r="A103">
        <v>1108</v>
      </c>
      <c r="B103" t="s">
        <v>111</v>
      </c>
      <c r="C103">
        <v>1</v>
      </c>
      <c r="D103">
        <v>4390441492500</v>
      </c>
      <c r="E103">
        <v>7356945081</v>
      </c>
      <c r="F103">
        <v>353904180.05000001</v>
      </c>
      <c r="G103">
        <v>41796270</v>
      </c>
      <c r="H103">
        <v>1.6756731853886501E-3</v>
      </c>
      <c r="I103" s="1">
        <v>8.0607879789437804E-5</v>
      </c>
      <c r="J103">
        <v>105043.85899746499</v>
      </c>
      <c r="K103">
        <v>0.34307765413847302</v>
      </c>
      <c r="M103">
        <v>1049</v>
      </c>
      <c r="N103" t="s">
        <v>152</v>
      </c>
      <c r="O103">
        <v>1</v>
      </c>
      <c r="P103">
        <v>15049791574400</v>
      </c>
      <c r="Q103">
        <v>16564065033</v>
      </c>
      <c r="R103">
        <v>2056659396.45</v>
      </c>
      <c r="S103">
        <v>441333115</v>
      </c>
      <c r="T103">
        <v>1.1006175700915199E-3</v>
      </c>
      <c r="U103">
        <v>1.3665700194469201E-4</v>
      </c>
      <c r="V103">
        <v>34100.753065855897</v>
      </c>
      <c r="W103">
        <v>-3.5431938104259902E-2</v>
      </c>
    </row>
    <row r="104" spans="1:23" x14ac:dyDescent="0.4">
      <c r="A104">
        <v>1063</v>
      </c>
      <c r="B104" t="s">
        <v>112</v>
      </c>
      <c r="C104">
        <v>2</v>
      </c>
      <c r="D104">
        <v>948621810300</v>
      </c>
      <c r="E104">
        <v>1140429329</v>
      </c>
      <c r="F104">
        <v>135569088.06</v>
      </c>
      <c r="G104">
        <v>14006286</v>
      </c>
      <c r="H104">
        <v>1.20219598223167E-3</v>
      </c>
      <c r="I104">
        <v>1.4291162883670801E-4</v>
      </c>
      <c r="J104">
        <v>67728.290733175003</v>
      </c>
      <c r="K104">
        <v>0.30640229625829102</v>
      </c>
      <c r="M104">
        <v>4</v>
      </c>
      <c r="N104" t="s">
        <v>138</v>
      </c>
      <c r="O104">
        <v>2</v>
      </c>
      <c r="P104">
        <v>529114711000</v>
      </c>
      <c r="Q104">
        <v>674054031</v>
      </c>
      <c r="R104">
        <v>32750000</v>
      </c>
      <c r="S104">
        <v>3426909</v>
      </c>
      <c r="T104">
        <v>1.27392797249215E-3</v>
      </c>
      <c r="U104" s="1">
        <v>6.1895840956877095E-5</v>
      </c>
      <c r="V104">
        <v>154399.98873620501</v>
      </c>
      <c r="W104">
        <v>-4.2796200764705798E-2</v>
      </c>
    </row>
    <row r="105" spans="1:23" x14ac:dyDescent="0.4">
      <c r="A105">
        <v>737</v>
      </c>
      <c r="B105" t="s">
        <v>113</v>
      </c>
      <c r="C105">
        <v>3</v>
      </c>
      <c r="D105">
        <v>163921962200</v>
      </c>
      <c r="E105">
        <v>155395293</v>
      </c>
      <c r="F105">
        <v>23575000</v>
      </c>
      <c r="G105">
        <v>1549881</v>
      </c>
      <c r="H105">
        <v>9.47983363024921E-4</v>
      </c>
      <c r="I105">
        <v>1.4381843459899699E-4</v>
      </c>
      <c r="J105">
        <v>105764.22460821101</v>
      </c>
      <c r="K105">
        <v>0.296294605907921</v>
      </c>
      <c r="M105">
        <v>432</v>
      </c>
      <c r="N105" t="s">
        <v>154</v>
      </c>
      <c r="O105">
        <v>1</v>
      </c>
      <c r="P105">
        <v>2632047248710</v>
      </c>
      <c r="Q105">
        <v>4391739000</v>
      </c>
      <c r="R105">
        <v>226350000</v>
      </c>
      <c r="S105">
        <v>106557713</v>
      </c>
      <c r="T105">
        <v>1.66856389153061E-3</v>
      </c>
      <c r="U105" s="1">
        <v>8.5997696322107E-5</v>
      </c>
      <c r="V105">
        <v>24700.673227755899</v>
      </c>
      <c r="W105">
        <v>-0.13521746293424899</v>
      </c>
    </row>
    <row r="106" spans="1:23" x14ac:dyDescent="0.4">
      <c r="A106">
        <v>168</v>
      </c>
      <c r="B106" t="s">
        <v>114</v>
      </c>
      <c r="C106">
        <v>2</v>
      </c>
      <c r="D106">
        <v>1465824979600</v>
      </c>
      <c r="E106">
        <v>1099616742</v>
      </c>
      <c r="F106">
        <v>163294068.81</v>
      </c>
      <c r="G106">
        <v>7592914</v>
      </c>
      <c r="H106">
        <v>7.5016919298241701E-4</v>
      </c>
      <c r="I106">
        <v>1.1140079551281699E-4</v>
      </c>
      <c r="J106">
        <v>193051.70315375601</v>
      </c>
      <c r="K106">
        <v>0.28517045750699199</v>
      </c>
      <c r="M106">
        <v>391</v>
      </c>
      <c r="N106" t="s">
        <v>156</v>
      </c>
      <c r="O106">
        <v>1</v>
      </c>
      <c r="P106">
        <v>2936799830990</v>
      </c>
      <c r="Q106">
        <v>4574589000</v>
      </c>
      <c r="R106">
        <v>277106487.06</v>
      </c>
      <c r="S106">
        <v>112184801</v>
      </c>
      <c r="T106">
        <v>1.55767817463333E-3</v>
      </c>
      <c r="U106" s="1">
        <v>9.4356613663583195E-5</v>
      </c>
      <c r="V106">
        <v>26178.232744647801</v>
      </c>
      <c r="W106">
        <v>-0.14524511331051301</v>
      </c>
    </row>
    <row r="107" spans="1:23" x14ac:dyDescent="0.4">
      <c r="A107">
        <v>1112</v>
      </c>
      <c r="B107" t="s">
        <v>115</v>
      </c>
      <c r="C107">
        <v>2</v>
      </c>
      <c r="D107">
        <v>1064213749500</v>
      </c>
      <c r="E107">
        <v>1037481277.5700001</v>
      </c>
      <c r="F107">
        <v>138562500</v>
      </c>
      <c r="G107">
        <v>8753894</v>
      </c>
      <c r="H107">
        <v>9.7488054261415003E-4</v>
      </c>
      <c r="I107">
        <v>1.3020175699205201E-4</v>
      </c>
      <c r="J107">
        <v>121570.32624566799</v>
      </c>
      <c r="K107">
        <v>0.26180806275360602</v>
      </c>
      <c r="M107">
        <v>246</v>
      </c>
      <c r="N107" t="s">
        <v>157</v>
      </c>
      <c r="O107">
        <v>1</v>
      </c>
      <c r="P107">
        <v>11300845334250</v>
      </c>
      <c r="Q107">
        <v>13387594000</v>
      </c>
      <c r="R107">
        <v>1295227569.1400001</v>
      </c>
      <c r="S107">
        <v>224202345</v>
      </c>
      <c r="T107">
        <v>1.18465420984265E-3</v>
      </c>
      <c r="U107">
        <v>1.14613334740056E-4</v>
      </c>
      <c r="V107">
        <v>50404.670541024003</v>
      </c>
      <c r="W107">
        <v>-0.15103737434301701</v>
      </c>
    </row>
    <row r="108" spans="1:23" x14ac:dyDescent="0.4">
      <c r="A108">
        <v>912</v>
      </c>
      <c r="B108" t="s">
        <v>116</v>
      </c>
      <c r="C108">
        <v>2</v>
      </c>
      <c r="D108">
        <v>2744190917600</v>
      </c>
      <c r="E108">
        <v>3691744206</v>
      </c>
      <c r="F108">
        <v>402777224.56</v>
      </c>
      <c r="G108">
        <v>84018888</v>
      </c>
      <c r="H108">
        <v>1.34529422946589E-3</v>
      </c>
      <c r="I108">
        <v>1.46774490789532E-4</v>
      </c>
      <c r="J108">
        <v>32661.595302237201</v>
      </c>
      <c r="K108">
        <v>0.25693331746566</v>
      </c>
      <c r="M108">
        <v>324</v>
      </c>
      <c r="N108" t="s">
        <v>161</v>
      </c>
      <c r="O108">
        <v>1</v>
      </c>
      <c r="P108">
        <v>4565269150000</v>
      </c>
      <c r="Q108">
        <v>3408732262</v>
      </c>
      <c r="R108">
        <v>705045768.53999996</v>
      </c>
      <c r="S108">
        <v>116440114</v>
      </c>
      <c r="T108">
        <v>7.4666622054474002E-4</v>
      </c>
      <c r="U108">
        <v>1.5443684597215901E-4</v>
      </c>
      <c r="V108">
        <v>39207.013744421398</v>
      </c>
      <c r="W108">
        <v>-0.217938548770436</v>
      </c>
    </row>
    <row r="109" spans="1:23" x14ac:dyDescent="0.4">
      <c r="A109">
        <v>27</v>
      </c>
      <c r="B109" t="s">
        <v>117</v>
      </c>
      <c r="C109">
        <v>3</v>
      </c>
      <c r="D109">
        <v>230645426600</v>
      </c>
      <c r="E109">
        <v>347847383</v>
      </c>
      <c r="F109">
        <v>27000000</v>
      </c>
      <c r="G109">
        <v>4056827</v>
      </c>
      <c r="H109">
        <v>1.5081477579143899E-3</v>
      </c>
      <c r="I109">
        <v>1.17062802406332E-4</v>
      </c>
      <c r="J109">
        <v>56853.651043044199</v>
      </c>
      <c r="K109">
        <v>0.24049625626226301</v>
      </c>
      <c r="M109">
        <v>419</v>
      </c>
      <c r="N109" t="s">
        <v>158</v>
      </c>
      <c r="O109">
        <v>1</v>
      </c>
      <c r="P109">
        <v>6680833573600</v>
      </c>
      <c r="Q109">
        <v>10949600986</v>
      </c>
      <c r="R109">
        <v>308329940.22000003</v>
      </c>
      <c r="S109">
        <v>68728639</v>
      </c>
      <c r="T109">
        <v>1.6389573045597801E-3</v>
      </c>
      <c r="U109" s="1">
        <v>4.61514176072874E-5</v>
      </c>
      <c r="V109">
        <v>97205.963493617193</v>
      </c>
      <c r="W109">
        <v>-0.25152138918913203</v>
      </c>
    </row>
    <row r="110" spans="1:23" x14ac:dyDescent="0.4">
      <c r="A110">
        <v>408</v>
      </c>
      <c r="B110" t="s">
        <v>118</v>
      </c>
      <c r="C110">
        <v>2</v>
      </c>
      <c r="D110">
        <v>1874040000000</v>
      </c>
      <c r="E110">
        <v>2359756000</v>
      </c>
      <c r="F110">
        <v>265053125</v>
      </c>
      <c r="G110">
        <v>34708839</v>
      </c>
      <c r="H110">
        <v>1.2591812341252E-3</v>
      </c>
      <c r="I110">
        <v>1.4143408091609499E-4</v>
      </c>
      <c r="J110">
        <v>53993.162951949998</v>
      </c>
      <c r="K110">
        <v>0.24016686281020899</v>
      </c>
      <c r="M110">
        <v>896</v>
      </c>
      <c r="N110" t="s">
        <v>145</v>
      </c>
      <c r="O110">
        <v>2</v>
      </c>
      <c r="P110">
        <v>596361920000</v>
      </c>
      <c r="Q110">
        <v>292258864</v>
      </c>
      <c r="R110">
        <v>24305000</v>
      </c>
      <c r="S110">
        <v>1936146</v>
      </c>
      <c r="T110">
        <v>4.9006962751746398E-4</v>
      </c>
      <c r="U110" s="1">
        <v>4.0755452662034401E-5</v>
      </c>
      <c r="V110">
        <v>308014.95341776899</v>
      </c>
      <c r="W110">
        <v>-0.282043742871529</v>
      </c>
    </row>
    <row r="111" spans="1:23" x14ac:dyDescent="0.4">
      <c r="A111">
        <v>252</v>
      </c>
      <c r="B111" t="s">
        <v>119</v>
      </c>
      <c r="C111">
        <v>3</v>
      </c>
      <c r="D111">
        <v>103246379600</v>
      </c>
      <c r="E111">
        <v>180678813</v>
      </c>
      <c r="F111">
        <v>8000000</v>
      </c>
      <c r="G111">
        <v>1182050</v>
      </c>
      <c r="H111">
        <v>1.7499772263200901E-3</v>
      </c>
      <c r="I111" s="1">
        <v>7.7484557143735395E-5</v>
      </c>
      <c r="J111">
        <v>87345.188105410096</v>
      </c>
      <c r="K111">
        <v>0.239349007419764</v>
      </c>
      <c r="M111">
        <v>783</v>
      </c>
      <c r="N111" t="s">
        <v>147</v>
      </c>
      <c r="O111">
        <v>1</v>
      </c>
      <c r="P111">
        <v>11916181200000</v>
      </c>
      <c r="Q111">
        <v>4787042075</v>
      </c>
      <c r="R111">
        <v>568171938.03999996</v>
      </c>
      <c r="S111">
        <v>38675093</v>
      </c>
      <c r="T111">
        <v>4.0172619018247202E-4</v>
      </c>
      <c r="U111" s="1">
        <v>4.7680706469955301E-5</v>
      </c>
      <c r="V111">
        <v>308109.95593468897</v>
      </c>
      <c r="W111">
        <v>-0.29464854792552603</v>
      </c>
    </row>
    <row r="112" spans="1:23" x14ac:dyDescent="0.4">
      <c r="A112">
        <v>348</v>
      </c>
      <c r="B112" t="s">
        <v>120</v>
      </c>
      <c r="C112">
        <v>3</v>
      </c>
      <c r="D112">
        <v>115383380250</v>
      </c>
      <c r="E112">
        <v>95346630</v>
      </c>
      <c r="F112">
        <v>21438194.129999999</v>
      </c>
      <c r="G112">
        <v>2574384</v>
      </c>
      <c r="H112">
        <v>8.2634630562402798E-4</v>
      </c>
      <c r="I112">
        <v>1.85799671352581E-4</v>
      </c>
      <c r="J112">
        <v>44819.801649637302</v>
      </c>
      <c r="K112">
        <v>0.233118331035371</v>
      </c>
      <c r="M112">
        <v>352</v>
      </c>
      <c r="N112" t="s">
        <v>153</v>
      </c>
      <c r="O112">
        <v>1</v>
      </c>
      <c r="P112">
        <v>2068204800000</v>
      </c>
      <c r="Q112">
        <v>2336924681</v>
      </c>
      <c r="R112">
        <v>94545130.840000004</v>
      </c>
      <c r="S112">
        <v>11382268</v>
      </c>
      <c r="T112">
        <v>1.1299290481290799E-3</v>
      </c>
      <c r="U112" s="1">
        <v>4.5713621223584802E-5</v>
      </c>
      <c r="V112">
        <v>181704.103259561</v>
      </c>
      <c r="W112">
        <v>-0.30703705449101198</v>
      </c>
    </row>
    <row r="113" spans="1:23" x14ac:dyDescent="0.4">
      <c r="A113">
        <v>1030</v>
      </c>
      <c r="B113" t="s">
        <v>121</v>
      </c>
      <c r="C113">
        <v>3</v>
      </c>
      <c r="D113">
        <v>309430000000</v>
      </c>
      <c r="E113">
        <v>240323157</v>
      </c>
      <c r="F113">
        <v>53183333.329999998</v>
      </c>
      <c r="G113">
        <v>4147000</v>
      </c>
      <c r="H113">
        <v>7.7666405002746897E-4</v>
      </c>
      <c r="I113">
        <v>1.7187516830947201E-4</v>
      </c>
      <c r="J113">
        <v>74615.384615384595</v>
      </c>
      <c r="K113">
        <v>0.20951721569535001</v>
      </c>
      <c r="M113">
        <v>107</v>
      </c>
      <c r="N113" t="s">
        <v>166</v>
      </c>
      <c r="O113">
        <v>1</v>
      </c>
      <c r="P113">
        <v>3240750000000</v>
      </c>
      <c r="Q113">
        <v>3504313509.8400002</v>
      </c>
      <c r="R113">
        <v>362461356.85000002</v>
      </c>
      <c r="S113">
        <v>59801586</v>
      </c>
      <c r="T113">
        <v>1.0813279363850899E-3</v>
      </c>
      <c r="U113">
        <v>1.11844899128288E-4</v>
      </c>
      <c r="V113">
        <v>54191.7065544047</v>
      </c>
      <c r="W113">
        <v>-0.32229498550608299</v>
      </c>
    </row>
    <row r="114" spans="1:23" x14ac:dyDescent="0.4">
      <c r="A114">
        <v>6</v>
      </c>
      <c r="B114" t="s">
        <v>122</v>
      </c>
      <c r="C114">
        <v>2</v>
      </c>
      <c r="D114">
        <v>1180648171700</v>
      </c>
      <c r="E114">
        <v>1360493467.9300001</v>
      </c>
      <c r="F114">
        <v>140262851.38</v>
      </c>
      <c r="G114">
        <v>11148029</v>
      </c>
      <c r="H114">
        <v>1.1523275947406401E-3</v>
      </c>
      <c r="I114">
        <v>1.1880156573489401E-4</v>
      </c>
      <c r="J114">
        <v>105906.449624413</v>
      </c>
      <c r="K114">
        <v>0.19539115944740401</v>
      </c>
      <c r="M114">
        <v>1051</v>
      </c>
      <c r="N114" t="s">
        <v>163</v>
      </c>
      <c r="O114">
        <v>1</v>
      </c>
      <c r="P114">
        <v>5016706914000</v>
      </c>
      <c r="Q114">
        <v>3263226247</v>
      </c>
      <c r="R114">
        <v>475847357.56</v>
      </c>
      <c r="S114">
        <v>32002270</v>
      </c>
      <c r="T114">
        <v>6.50471774201796E-4</v>
      </c>
      <c r="U114" s="1">
        <v>9.4852532890064695E-5</v>
      </c>
      <c r="V114">
        <v>156760.97083113101</v>
      </c>
      <c r="W114">
        <v>-0.39237437138215803</v>
      </c>
    </row>
    <row r="115" spans="1:23" x14ac:dyDescent="0.4">
      <c r="A115">
        <v>1079</v>
      </c>
      <c r="B115" t="s">
        <v>123</v>
      </c>
      <c r="C115">
        <v>1</v>
      </c>
      <c r="D115">
        <v>1641739889400</v>
      </c>
      <c r="E115">
        <v>1198802546</v>
      </c>
      <c r="F115">
        <v>174638866.38999999</v>
      </c>
      <c r="G115">
        <v>8862236</v>
      </c>
      <c r="H115">
        <v>7.3020248441311899E-4</v>
      </c>
      <c r="I115">
        <v>1.06374260330498E-4</v>
      </c>
      <c r="J115">
        <v>185251.20403022401</v>
      </c>
      <c r="K115">
        <v>0.102846395438645</v>
      </c>
      <c r="M115">
        <v>129</v>
      </c>
      <c r="N115" t="s">
        <v>168</v>
      </c>
      <c r="O115">
        <v>2</v>
      </c>
      <c r="P115">
        <v>1667944315230</v>
      </c>
      <c r="Q115">
        <v>2502821868</v>
      </c>
      <c r="R115">
        <v>107283333.33</v>
      </c>
      <c r="S115">
        <v>24818764</v>
      </c>
      <c r="T115">
        <v>1.5005428209723299E-3</v>
      </c>
      <c r="U115" s="1">
        <v>6.4320692453816205E-5</v>
      </c>
      <c r="V115">
        <v>67204.971014269599</v>
      </c>
      <c r="W115">
        <v>-0.40128208403107601</v>
      </c>
    </row>
    <row r="116" spans="1:23" x14ac:dyDescent="0.4">
      <c r="A116">
        <v>1115</v>
      </c>
      <c r="B116" t="s">
        <v>124</v>
      </c>
      <c r="C116">
        <v>3</v>
      </c>
      <c r="D116">
        <v>311749200000</v>
      </c>
      <c r="E116">
        <v>230164387</v>
      </c>
      <c r="F116">
        <v>56475000</v>
      </c>
      <c r="G116">
        <v>6084589</v>
      </c>
      <c r="H116">
        <v>7.3829984808300995E-4</v>
      </c>
      <c r="I116">
        <v>1.8115523632458399E-4</v>
      </c>
      <c r="J116">
        <v>51235.868190932801</v>
      </c>
      <c r="K116">
        <v>8.7431935024157997E-2</v>
      </c>
      <c r="M116">
        <v>859</v>
      </c>
      <c r="N116" t="s">
        <v>151</v>
      </c>
      <c r="O116">
        <v>1</v>
      </c>
      <c r="P116">
        <v>28434697607000</v>
      </c>
      <c r="Q116">
        <v>15434100925</v>
      </c>
      <c r="R116">
        <v>350210714.29000002</v>
      </c>
      <c r="S116">
        <v>83085849</v>
      </c>
      <c r="T116">
        <v>5.42791104667857E-4</v>
      </c>
      <c r="U116" s="1">
        <v>1.23163157607762E-5</v>
      </c>
      <c r="V116">
        <v>342232.73817662901</v>
      </c>
      <c r="W116">
        <v>-0.40293654158923498</v>
      </c>
    </row>
    <row r="117" spans="1:23" x14ac:dyDescent="0.4">
      <c r="A117">
        <v>373</v>
      </c>
      <c r="B117" t="s">
        <v>125</v>
      </c>
      <c r="C117">
        <v>3</v>
      </c>
      <c r="D117">
        <v>235000000000</v>
      </c>
      <c r="E117">
        <v>465305423</v>
      </c>
      <c r="F117">
        <v>14525000</v>
      </c>
      <c r="G117">
        <v>4000000</v>
      </c>
      <c r="H117">
        <v>1.9800230765957402E-3</v>
      </c>
      <c r="I117" s="1">
        <v>6.1808510638297802E-5</v>
      </c>
      <c r="J117">
        <v>58750</v>
      </c>
      <c r="K117">
        <v>6.2490109612373501E-2</v>
      </c>
      <c r="M117">
        <v>163</v>
      </c>
      <c r="N117" t="s">
        <v>164</v>
      </c>
      <c r="O117">
        <v>2</v>
      </c>
      <c r="P117">
        <v>940802532000</v>
      </c>
      <c r="Q117">
        <v>915889246</v>
      </c>
      <c r="R117">
        <v>68080000</v>
      </c>
      <c r="S117">
        <v>6545660</v>
      </c>
      <c r="T117">
        <v>9.7351911251021095E-4</v>
      </c>
      <c r="U117" s="1">
        <v>7.2363750823748794E-5</v>
      </c>
      <c r="V117">
        <v>143729.208666505</v>
      </c>
      <c r="W117">
        <v>-0.40519915089149899</v>
      </c>
    </row>
    <row r="118" spans="1:23" x14ac:dyDescent="0.4">
      <c r="A118">
        <v>523</v>
      </c>
      <c r="B118" t="s">
        <v>126</v>
      </c>
      <c r="C118">
        <v>3</v>
      </c>
      <c r="D118">
        <v>153568404000</v>
      </c>
      <c r="E118">
        <v>238240163</v>
      </c>
      <c r="F118">
        <v>16500000</v>
      </c>
      <c r="G118">
        <v>3248141</v>
      </c>
      <c r="H118">
        <v>1.5513618478446901E-3</v>
      </c>
      <c r="I118">
        <v>1.07443976561741E-4</v>
      </c>
      <c r="J118">
        <v>47278.860123375103</v>
      </c>
      <c r="K118">
        <v>6.0928642185024098E-2</v>
      </c>
      <c r="M118">
        <v>802</v>
      </c>
      <c r="N118" t="s">
        <v>165</v>
      </c>
      <c r="O118">
        <v>2</v>
      </c>
      <c r="P118">
        <v>999978000000</v>
      </c>
      <c r="Q118">
        <v>852690951</v>
      </c>
      <c r="R118">
        <v>78260707.75</v>
      </c>
      <c r="S118">
        <v>6590878</v>
      </c>
      <c r="T118">
        <v>8.5270971061363304E-4</v>
      </c>
      <c r="U118" s="1">
        <v>7.8262429523449499E-5</v>
      </c>
      <c r="V118">
        <v>151721.515707012</v>
      </c>
      <c r="W118">
        <v>-0.417265490174834</v>
      </c>
    </row>
    <row r="119" spans="1:23" x14ac:dyDescent="0.4">
      <c r="A119">
        <v>1002</v>
      </c>
      <c r="B119" t="s">
        <v>127</v>
      </c>
      <c r="C119">
        <v>3</v>
      </c>
      <c r="D119">
        <v>135364765200</v>
      </c>
      <c r="E119">
        <v>155137919</v>
      </c>
      <c r="F119">
        <v>20350000</v>
      </c>
      <c r="G119">
        <v>3829272</v>
      </c>
      <c r="H119">
        <v>1.1460731215452199E-3</v>
      </c>
      <c r="I119">
        <v>1.5033454215307099E-4</v>
      </c>
      <c r="J119">
        <v>35350</v>
      </c>
      <c r="K119">
        <v>4.5341914718028502E-2</v>
      </c>
      <c r="M119">
        <v>376</v>
      </c>
      <c r="N119" t="s">
        <v>167</v>
      </c>
      <c r="O119">
        <v>2</v>
      </c>
      <c r="P119">
        <v>447323381000</v>
      </c>
      <c r="Q119">
        <v>293692167</v>
      </c>
      <c r="R119">
        <v>40637500</v>
      </c>
      <c r="S119">
        <v>2855404</v>
      </c>
      <c r="T119">
        <v>6.5655447373093995E-4</v>
      </c>
      <c r="U119" s="1">
        <v>9.0845910869121301E-5</v>
      </c>
      <c r="V119">
        <v>156658.52572875799</v>
      </c>
      <c r="W119">
        <v>-0.45331138677483601</v>
      </c>
    </row>
    <row r="120" spans="1:23" x14ac:dyDescent="0.4">
      <c r="A120">
        <v>467</v>
      </c>
      <c r="B120" t="s">
        <v>128</v>
      </c>
      <c r="C120">
        <v>2</v>
      </c>
      <c r="D120">
        <v>320746003200</v>
      </c>
      <c r="E120">
        <v>430273063</v>
      </c>
      <c r="F120">
        <v>41851699.829999998</v>
      </c>
      <c r="G120">
        <v>8715924</v>
      </c>
      <c r="H120">
        <v>1.3414759925526E-3</v>
      </c>
      <c r="I120">
        <v>1.3048237363039999E-4</v>
      </c>
      <c r="J120">
        <v>36800</v>
      </c>
      <c r="K120">
        <v>2.6599965596618001E-2</v>
      </c>
      <c r="M120">
        <v>652</v>
      </c>
      <c r="N120" t="s">
        <v>162</v>
      </c>
      <c r="O120">
        <v>2</v>
      </c>
      <c r="P120">
        <v>3379068000000</v>
      </c>
      <c r="Q120">
        <v>2243538876</v>
      </c>
      <c r="R120">
        <v>210747028.69999999</v>
      </c>
      <c r="S120">
        <v>15939000</v>
      </c>
      <c r="T120">
        <v>6.6395197610702103E-4</v>
      </c>
      <c r="U120" s="1">
        <v>6.2368389360616594E-5</v>
      </c>
      <c r="V120">
        <v>212000</v>
      </c>
      <c r="W120">
        <v>-0.46344830434807699</v>
      </c>
    </row>
    <row r="121" spans="1:23" x14ac:dyDescent="0.4">
      <c r="A121">
        <v>624</v>
      </c>
      <c r="B121" t="s">
        <v>129</v>
      </c>
      <c r="C121">
        <v>2</v>
      </c>
      <c r="D121">
        <v>1062227906500</v>
      </c>
      <c r="E121">
        <v>1520680176</v>
      </c>
      <c r="F121">
        <v>128160194.95999999</v>
      </c>
      <c r="G121">
        <v>27381206</v>
      </c>
      <c r="H121">
        <v>1.43159501524544E-3</v>
      </c>
      <c r="I121">
        <v>1.20652257557686E-4</v>
      </c>
      <c r="J121">
        <v>38794.051164145203</v>
      </c>
      <c r="K121">
        <v>1.9277749949928501E-2</v>
      </c>
      <c r="M121">
        <v>395</v>
      </c>
      <c r="N121" t="s">
        <v>169</v>
      </c>
      <c r="O121">
        <v>2</v>
      </c>
      <c r="P121">
        <v>1014004800000</v>
      </c>
      <c r="Q121">
        <v>736677415</v>
      </c>
      <c r="R121">
        <v>88237500</v>
      </c>
      <c r="S121">
        <v>6726400</v>
      </c>
      <c r="T121">
        <v>7.2650288736305702E-4</v>
      </c>
      <c r="U121" s="1">
        <v>8.7018818845827894E-5</v>
      </c>
      <c r="V121">
        <v>150750</v>
      </c>
      <c r="W121">
        <v>-0.46433652084650401</v>
      </c>
    </row>
    <row r="122" spans="1:23" x14ac:dyDescent="0.4">
      <c r="A122">
        <v>970</v>
      </c>
      <c r="B122" t="s">
        <v>130</v>
      </c>
      <c r="C122">
        <v>2</v>
      </c>
      <c r="D122">
        <v>730261911600</v>
      </c>
      <c r="E122">
        <v>976565768</v>
      </c>
      <c r="F122">
        <v>86123485.189999998</v>
      </c>
      <c r="G122">
        <v>12802906</v>
      </c>
      <c r="H122">
        <v>1.3372815321291301E-3</v>
      </c>
      <c r="I122">
        <v>1.1793506387496399E-4</v>
      </c>
      <c r="J122">
        <v>57038.762262255099</v>
      </c>
      <c r="K122">
        <v>4.31836237660698E-3</v>
      </c>
      <c r="M122">
        <v>590</v>
      </c>
      <c r="N122" t="s">
        <v>174</v>
      </c>
      <c r="O122">
        <v>1</v>
      </c>
      <c r="P122">
        <v>9348449758200</v>
      </c>
      <c r="Q122">
        <v>6115314000</v>
      </c>
      <c r="R122">
        <v>1351297955.22</v>
      </c>
      <c r="S122">
        <v>202649026</v>
      </c>
      <c r="T122">
        <v>6.5415273742429304E-4</v>
      </c>
      <c r="U122">
        <v>1.44547811687676E-4</v>
      </c>
      <c r="V122">
        <v>46131.234591771397</v>
      </c>
      <c r="W122">
        <v>-0.469254641004688</v>
      </c>
    </row>
    <row r="123" spans="1:23" x14ac:dyDescent="0.4">
      <c r="A123">
        <v>596</v>
      </c>
      <c r="B123" t="s">
        <v>131</v>
      </c>
      <c r="C123">
        <v>1</v>
      </c>
      <c r="D123">
        <v>1853134478100</v>
      </c>
      <c r="E123">
        <v>1685441625</v>
      </c>
      <c r="F123">
        <v>114399844.11</v>
      </c>
      <c r="G123">
        <v>8282577</v>
      </c>
      <c r="H123">
        <v>9.0950853535900198E-4</v>
      </c>
      <c r="I123" s="1">
        <v>6.1733158312014594E-5</v>
      </c>
      <c r="J123">
        <v>223738.877175545</v>
      </c>
      <c r="K123">
        <v>1.4429444858368101E-3</v>
      </c>
      <c r="M123">
        <v>273</v>
      </c>
      <c r="N123" t="s">
        <v>170</v>
      </c>
      <c r="O123">
        <v>2</v>
      </c>
      <c r="P123">
        <v>811410000000</v>
      </c>
      <c r="Q123">
        <v>1095866163</v>
      </c>
      <c r="R123">
        <v>58958333.329999998</v>
      </c>
      <c r="S123">
        <v>12735000</v>
      </c>
      <c r="T123">
        <v>1.35057019632491E-3</v>
      </c>
      <c r="U123" s="1">
        <v>7.2661580865407099E-5</v>
      </c>
      <c r="V123">
        <v>63714.958775029401</v>
      </c>
      <c r="W123">
        <v>-0.51275392723483504</v>
      </c>
    </row>
    <row r="124" spans="1:23" x14ac:dyDescent="0.4">
      <c r="A124">
        <v>156</v>
      </c>
      <c r="B124" t="s">
        <v>132</v>
      </c>
      <c r="C124">
        <v>3</v>
      </c>
      <c r="D124">
        <v>156300000000</v>
      </c>
      <c r="E124">
        <v>236410555</v>
      </c>
      <c r="F124">
        <v>15275000</v>
      </c>
      <c r="G124">
        <v>2475000</v>
      </c>
      <c r="H124">
        <v>1.51254353806781E-3</v>
      </c>
      <c r="I124" s="1">
        <v>9.7728726807421603E-5</v>
      </c>
      <c r="J124">
        <v>63151.515151515101</v>
      </c>
      <c r="K124">
        <v>-6.9152166550300303E-3</v>
      </c>
      <c r="M124">
        <v>935</v>
      </c>
      <c r="N124" t="s">
        <v>171</v>
      </c>
      <c r="O124">
        <v>2</v>
      </c>
      <c r="P124">
        <v>1582341384000</v>
      </c>
      <c r="Q124">
        <v>1166431157.1199999</v>
      </c>
      <c r="R124">
        <v>168235018.13</v>
      </c>
      <c r="S124">
        <v>15469818</v>
      </c>
      <c r="T124">
        <v>7.3715518592541501E-4</v>
      </c>
      <c r="U124">
        <v>1.06320304727617E-4</v>
      </c>
      <c r="V124">
        <v>102285.714285714</v>
      </c>
      <c r="W124">
        <v>-0.52705715926719099</v>
      </c>
    </row>
    <row r="125" spans="1:23" x14ac:dyDescent="0.4">
      <c r="A125">
        <v>991</v>
      </c>
      <c r="B125" t="s">
        <v>133</v>
      </c>
      <c r="C125">
        <v>1</v>
      </c>
      <c r="D125">
        <v>2405866859550</v>
      </c>
      <c r="E125">
        <v>3222417310</v>
      </c>
      <c r="F125">
        <v>297015140.12</v>
      </c>
      <c r="G125">
        <v>52738513</v>
      </c>
      <c r="H125">
        <v>1.3393996834067199E-3</v>
      </c>
      <c r="I125">
        <v>1.23454520744158E-4</v>
      </c>
      <c r="J125">
        <v>45618.784502892602</v>
      </c>
      <c r="K125">
        <v>-8.6472421769061506E-3</v>
      </c>
      <c r="M125">
        <v>659</v>
      </c>
      <c r="N125" t="s">
        <v>172</v>
      </c>
      <c r="O125">
        <v>1</v>
      </c>
      <c r="P125">
        <v>3867208434000</v>
      </c>
      <c r="Q125">
        <v>2473023894</v>
      </c>
      <c r="R125">
        <v>438489611.39999998</v>
      </c>
      <c r="S125">
        <v>36792090</v>
      </c>
      <c r="T125">
        <v>6.3948554524692505E-4</v>
      </c>
      <c r="U125">
        <v>1.13386598856388E-4</v>
      </c>
      <c r="V125">
        <v>105109.77859643201</v>
      </c>
      <c r="W125">
        <v>-0.52805799374843199</v>
      </c>
    </row>
    <row r="126" spans="1:23" x14ac:dyDescent="0.4">
      <c r="A126">
        <v>1041</v>
      </c>
      <c r="B126" t="s">
        <v>134</v>
      </c>
      <c r="C126">
        <v>2</v>
      </c>
      <c r="D126">
        <v>647666000000</v>
      </c>
      <c r="E126">
        <v>1028964864</v>
      </c>
      <c r="F126">
        <v>64734129.130000003</v>
      </c>
      <c r="G126">
        <v>14620000</v>
      </c>
      <c r="H126">
        <v>1.5887276219532899E-3</v>
      </c>
      <c r="I126" s="1">
        <v>9.9949864791420198E-5</v>
      </c>
      <c r="J126">
        <v>44300</v>
      </c>
      <c r="K126">
        <v>-3.2275700850254697E-2</v>
      </c>
      <c r="M126">
        <v>370</v>
      </c>
      <c r="N126" t="s">
        <v>159</v>
      </c>
      <c r="O126">
        <v>1</v>
      </c>
      <c r="P126">
        <v>1708543782000</v>
      </c>
      <c r="Q126">
        <v>271575177</v>
      </c>
      <c r="R126">
        <v>59544166.670000002</v>
      </c>
      <c r="S126">
        <v>4899307</v>
      </c>
      <c r="T126">
        <v>1.5895125419735899E-4</v>
      </c>
      <c r="U126" s="1">
        <v>3.4850828698283802E-5</v>
      </c>
      <c r="V126">
        <v>348731.72511949099</v>
      </c>
      <c r="W126">
        <v>-0.53646346994633198</v>
      </c>
    </row>
    <row r="127" spans="1:23" x14ac:dyDescent="0.4">
      <c r="A127">
        <v>544</v>
      </c>
      <c r="B127" t="s">
        <v>135</v>
      </c>
      <c r="C127">
        <v>3</v>
      </c>
      <c r="D127">
        <v>253215395440</v>
      </c>
      <c r="E127">
        <v>535809781</v>
      </c>
      <c r="F127">
        <v>16500000</v>
      </c>
      <c r="G127">
        <v>12472756</v>
      </c>
      <c r="H127">
        <v>2.1160237120217301E-3</v>
      </c>
      <c r="I127" s="1">
        <v>6.5161914706365903E-5</v>
      </c>
      <c r="J127">
        <v>20301.479114960599</v>
      </c>
      <c r="K127">
        <v>-3.6791651067172602E-2</v>
      </c>
      <c r="M127">
        <v>344</v>
      </c>
      <c r="N127" t="s">
        <v>173</v>
      </c>
      <c r="O127">
        <v>2</v>
      </c>
      <c r="P127">
        <v>353401630400</v>
      </c>
      <c r="Q127">
        <v>293233807</v>
      </c>
      <c r="R127">
        <v>35391666.670000002</v>
      </c>
      <c r="S127">
        <v>3640814</v>
      </c>
      <c r="T127">
        <v>8.2974661624537799E-4</v>
      </c>
      <c r="U127">
        <v>1.00145736820573E-4</v>
      </c>
      <c r="V127">
        <v>97066.653336314295</v>
      </c>
      <c r="W127">
        <v>-0.53867112509506998</v>
      </c>
    </row>
    <row r="128" spans="1:23" x14ac:dyDescent="0.4">
      <c r="A128">
        <v>1033</v>
      </c>
      <c r="B128" t="s">
        <v>136</v>
      </c>
      <c r="C128">
        <v>3</v>
      </c>
      <c r="D128">
        <v>198024564940</v>
      </c>
      <c r="E128">
        <v>271469147</v>
      </c>
      <c r="F128">
        <v>22950000</v>
      </c>
      <c r="G128">
        <v>4000000</v>
      </c>
      <c r="H128">
        <v>1.3708862184964401E-3</v>
      </c>
      <c r="I128">
        <v>1.15894712390625E-4</v>
      </c>
      <c r="J128">
        <v>49506.141235000003</v>
      </c>
      <c r="K128">
        <v>-4.8377930009945599E-2</v>
      </c>
      <c r="M128">
        <v>963</v>
      </c>
      <c r="N128" t="s">
        <v>175</v>
      </c>
      <c r="O128">
        <v>2</v>
      </c>
      <c r="P128">
        <v>1464000000000</v>
      </c>
      <c r="Q128">
        <v>1399615448</v>
      </c>
      <c r="R128">
        <v>140750388.27000001</v>
      </c>
      <c r="S128">
        <v>17765625</v>
      </c>
      <c r="T128">
        <v>9.5602148087431697E-4</v>
      </c>
      <c r="U128" s="1">
        <v>9.6140975594262302E-5</v>
      </c>
      <c r="V128">
        <v>82406.332453825802</v>
      </c>
      <c r="W128">
        <v>-0.54237028542542898</v>
      </c>
    </row>
    <row r="129" spans="1:23" x14ac:dyDescent="0.4">
      <c r="A129">
        <v>648</v>
      </c>
      <c r="B129" t="s">
        <v>137</v>
      </c>
      <c r="C129">
        <v>1</v>
      </c>
      <c r="D129">
        <v>26769562325000</v>
      </c>
      <c r="E129">
        <v>26861222000</v>
      </c>
      <c r="F129">
        <v>3468701979.8200002</v>
      </c>
      <c r="G129">
        <v>330973328</v>
      </c>
      <c r="H129">
        <v>1.00342402590999E-3</v>
      </c>
      <c r="I129">
        <v>1.2957634262778301E-4</v>
      </c>
      <c r="J129">
        <v>80881.328071849901</v>
      </c>
      <c r="K129">
        <v>-8.0727986205936894E-2</v>
      </c>
      <c r="M129">
        <v>903</v>
      </c>
      <c r="N129" t="s">
        <v>176</v>
      </c>
      <c r="O129">
        <v>1</v>
      </c>
      <c r="P129">
        <v>21100000000000</v>
      </c>
      <c r="Q129">
        <v>27530172000</v>
      </c>
      <c r="R129">
        <v>1580123117.9300001</v>
      </c>
      <c r="S129">
        <v>332793625</v>
      </c>
      <c r="T129">
        <v>1.3047474881516499E-3</v>
      </c>
      <c r="U129" s="1">
        <v>7.4887351560663505E-5</v>
      </c>
      <c r="V129">
        <v>63402.656826734499</v>
      </c>
      <c r="W129">
        <v>-0.54597469472580795</v>
      </c>
    </row>
    <row r="130" spans="1:23" x14ac:dyDescent="0.4">
      <c r="A130">
        <v>4</v>
      </c>
      <c r="B130" t="s">
        <v>138</v>
      </c>
      <c r="C130">
        <v>2</v>
      </c>
      <c r="D130">
        <v>529114711000</v>
      </c>
      <c r="E130">
        <v>674054031</v>
      </c>
      <c r="F130">
        <v>32750000</v>
      </c>
      <c r="G130">
        <v>3426909</v>
      </c>
      <c r="H130">
        <v>1.27392797249215E-3</v>
      </c>
      <c r="I130" s="1">
        <v>6.1895840956877095E-5</v>
      </c>
      <c r="J130">
        <v>154399.98873620501</v>
      </c>
      <c r="K130">
        <v>-9.6831760729664804E-2</v>
      </c>
      <c r="M130">
        <v>914</v>
      </c>
      <c r="N130" t="s">
        <v>179</v>
      </c>
      <c r="O130">
        <v>1</v>
      </c>
      <c r="P130">
        <v>10054621170000</v>
      </c>
      <c r="Q130">
        <v>11869029000</v>
      </c>
      <c r="R130">
        <v>884484982.82000005</v>
      </c>
      <c r="S130">
        <v>178907850</v>
      </c>
      <c r="T130">
        <v>1.18045511604292E-3</v>
      </c>
      <c r="U130" s="1">
        <v>8.7968006736945998E-5</v>
      </c>
      <c r="V130">
        <v>56200</v>
      </c>
      <c r="W130">
        <v>-0.56845135904440403</v>
      </c>
    </row>
    <row r="131" spans="1:23" x14ac:dyDescent="0.4">
      <c r="A131">
        <v>1116</v>
      </c>
      <c r="B131" t="s">
        <v>139</v>
      </c>
      <c r="C131">
        <v>1</v>
      </c>
      <c r="D131">
        <v>7358179098600</v>
      </c>
      <c r="E131">
        <v>5483825614</v>
      </c>
      <c r="F131">
        <v>830817650</v>
      </c>
      <c r="G131">
        <v>49541072</v>
      </c>
      <c r="H131">
        <v>7.4526938533520798E-4</v>
      </c>
      <c r="I131">
        <v>1.12910767578092E-4</v>
      </c>
      <c r="J131">
        <v>148526.84452609299</v>
      </c>
      <c r="K131">
        <v>-0.107543745730152</v>
      </c>
      <c r="M131">
        <v>740</v>
      </c>
      <c r="N131" t="s">
        <v>181</v>
      </c>
      <c r="O131">
        <v>1</v>
      </c>
      <c r="P131">
        <v>2644656709000</v>
      </c>
      <c r="Q131">
        <v>3473164583.4400001</v>
      </c>
      <c r="R131">
        <v>225804914.78</v>
      </c>
      <c r="S131">
        <v>70106125</v>
      </c>
      <c r="T131">
        <v>1.3132761509728301E-3</v>
      </c>
      <c r="U131" s="1">
        <v>8.5381559735736495E-5</v>
      </c>
      <c r="V131">
        <v>37723.618428489601</v>
      </c>
      <c r="W131">
        <v>-0.570245534818271</v>
      </c>
    </row>
    <row r="132" spans="1:23" x14ac:dyDescent="0.4">
      <c r="A132">
        <v>976</v>
      </c>
      <c r="B132" t="s">
        <v>140</v>
      </c>
      <c r="C132">
        <v>2</v>
      </c>
      <c r="D132">
        <v>696061273600</v>
      </c>
      <c r="E132">
        <v>675920851</v>
      </c>
      <c r="F132">
        <v>103050825.40000001</v>
      </c>
      <c r="G132">
        <v>14335386</v>
      </c>
      <c r="H132">
        <v>9.7106515853721505E-4</v>
      </c>
      <c r="I132">
        <v>1.4804849703392499E-4</v>
      </c>
      <c r="J132">
        <v>48555.460843537803</v>
      </c>
      <c r="K132">
        <v>-0.128037005612581</v>
      </c>
      <c r="M132">
        <v>1075</v>
      </c>
      <c r="N132" t="s">
        <v>182</v>
      </c>
      <c r="O132">
        <v>2</v>
      </c>
      <c r="P132">
        <v>1007364771000</v>
      </c>
      <c r="Q132">
        <v>907331000</v>
      </c>
      <c r="R132">
        <v>108891209.44</v>
      </c>
      <c r="S132">
        <v>16109633</v>
      </c>
      <c r="T132">
        <v>9.0069756866651405E-4</v>
      </c>
      <c r="U132">
        <v>1.08095113681516E-4</v>
      </c>
      <c r="V132">
        <v>62531.826206096601</v>
      </c>
      <c r="W132">
        <v>-0.58821923078543104</v>
      </c>
    </row>
    <row r="133" spans="1:23" x14ac:dyDescent="0.4">
      <c r="A133">
        <v>889</v>
      </c>
      <c r="B133" t="s">
        <v>141</v>
      </c>
      <c r="C133">
        <v>1</v>
      </c>
      <c r="D133">
        <v>8329466675200</v>
      </c>
      <c r="E133">
        <v>11122258000</v>
      </c>
      <c r="F133">
        <v>850828869.42999995</v>
      </c>
      <c r="G133">
        <v>122424900</v>
      </c>
      <c r="H133">
        <v>1.3352905334401699E-3</v>
      </c>
      <c r="I133">
        <v>1.02146860370213E-4</v>
      </c>
      <c r="J133">
        <v>68037.357393798098</v>
      </c>
      <c r="K133">
        <v>-0.15204520202460201</v>
      </c>
      <c r="M133">
        <v>884</v>
      </c>
      <c r="N133" t="s">
        <v>180</v>
      </c>
      <c r="O133">
        <v>2</v>
      </c>
      <c r="P133">
        <v>572696535600</v>
      </c>
      <c r="Q133">
        <v>302328579</v>
      </c>
      <c r="R133">
        <v>63756250</v>
      </c>
      <c r="S133">
        <v>4810212</v>
      </c>
      <c r="T133">
        <v>5.27903628198584E-4</v>
      </c>
      <c r="U133">
        <v>1.11326411173771E-4</v>
      </c>
      <c r="V133">
        <v>119058.481330968</v>
      </c>
      <c r="W133">
        <v>-0.613072856332327</v>
      </c>
    </row>
    <row r="134" spans="1:23" x14ac:dyDescent="0.4">
      <c r="A134">
        <v>931</v>
      </c>
      <c r="B134" t="s">
        <v>142</v>
      </c>
      <c r="C134">
        <v>1</v>
      </c>
      <c r="D134">
        <v>2600003565250</v>
      </c>
      <c r="E134">
        <v>3556593738</v>
      </c>
      <c r="F134">
        <v>260692186.66999999</v>
      </c>
      <c r="G134">
        <v>39802356</v>
      </c>
      <c r="H134">
        <v>1.36791879270289E-3</v>
      </c>
      <c r="I134">
        <v>1.0026608815243399E-4</v>
      </c>
      <c r="J134">
        <v>65322.8558945103</v>
      </c>
      <c r="K134">
        <v>-0.15925707397112501</v>
      </c>
      <c r="M134">
        <v>530</v>
      </c>
      <c r="N134" t="s">
        <v>177</v>
      </c>
      <c r="O134">
        <v>2</v>
      </c>
      <c r="P134">
        <v>473884493040</v>
      </c>
      <c r="Q134">
        <v>364132045</v>
      </c>
      <c r="R134">
        <v>36100000</v>
      </c>
      <c r="S134">
        <v>3246449</v>
      </c>
      <c r="T134">
        <v>7.6839831298143796E-4</v>
      </c>
      <c r="U134" s="1">
        <v>7.6178901251687105E-5</v>
      </c>
      <c r="V134">
        <v>145970.10242267701</v>
      </c>
      <c r="W134">
        <v>-0.62918659301951096</v>
      </c>
    </row>
    <row r="135" spans="1:23" x14ac:dyDescent="0.4">
      <c r="A135">
        <v>574</v>
      </c>
      <c r="B135" t="s">
        <v>143</v>
      </c>
      <c r="C135">
        <v>3</v>
      </c>
      <c r="D135">
        <v>46724067360</v>
      </c>
      <c r="E135">
        <v>43267167</v>
      </c>
      <c r="F135">
        <v>5300000</v>
      </c>
      <c r="G135">
        <v>413865</v>
      </c>
      <c r="H135">
        <v>9.2601456689621504E-4</v>
      </c>
      <c r="I135">
        <v>1.1343190564221401E-4</v>
      </c>
      <c r="J135">
        <v>112896.88028704999</v>
      </c>
      <c r="K135">
        <v>-0.16058804873803201</v>
      </c>
      <c r="M135">
        <v>835</v>
      </c>
      <c r="N135" t="s">
        <v>183</v>
      </c>
      <c r="O135">
        <v>2</v>
      </c>
      <c r="P135">
        <v>808204000000</v>
      </c>
      <c r="Q135">
        <v>586248172</v>
      </c>
      <c r="R135">
        <v>73900000</v>
      </c>
      <c r="S135">
        <v>6769750</v>
      </c>
      <c r="T135">
        <v>7.2537152996025704E-4</v>
      </c>
      <c r="U135" s="1">
        <v>9.1437310382032195E-5</v>
      </c>
      <c r="V135">
        <v>119384.615384615</v>
      </c>
      <c r="W135">
        <v>-0.65650756267044696</v>
      </c>
    </row>
    <row r="136" spans="1:23" x14ac:dyDescent="0.4">
      <c r="A136">
        <v>22</v>
      </c>
      <c r="B136" t="s">
        <v>144</v>
      </c>
      <c r="C136">
        <v>2</v>
      </c>
      <c r="D136">
        <v>2134812970350</v>
      </c>
      <c r="E136">
        <v>2648970036</v>
      </c>
      <c r="F136">
        <v>221633333.33000001</v>
      </c>
      <c r="G136">
        <v>27508525</v>
      </c>
      <c r="H136">
        <v>1.2408440799222299E-3</v>
      </c>
      <c r="I136">
        <v>1.0381861849643101E-4</v>
      </c>
      <c r="J136">
        <v>77605.504851677804</v>
      </c>
      <c r="K136">
        <v>-0.17627220905530899</v>
      </c>
      <c r="M136">
        <v>170</v>
      </c>
      <c r="N136" t="s">
        <v>186</v>
      </c>
      <c r="O136">
        <v>1</v>
      </c>
      <c r="P136">
        <v>4175100891500</v>
      </c>
      <c r="Q136">
        <v>5728709146</v>
      </c>
      <c r="R136">
        <v>290856349.63</v>
      </c>
      <c r="S136">
        <v>88501032</v>
      </c>
      <c r="T136">
        <v>1.37211274526633E-3</v>
      </c>
      <c r="U136" s="1">
        <v>6.9664508041505799E-5</v>
      </c>
      <c r="V136">
        <v>47175.7311428865</v>
      </c>
      <c r="W136">
        <v>-0.67278102089918501</v>
      </c>
    </row>
    <row r="137" spans="1:23" x14ac:dyDescent="0.4">
      <c r="A137">
        <v>896</v>
      </c>
      <c r="B137" t="s">
        <v>145</v>
      </c>
      <c r="C137">
        <v>2</v>
      </c>
      <c r="D137">
        <v>596361920000</v>
      </c>
      <c r="E137">
        <v>292258864</v>
      </c>
      <c r="F137">
        <v>24305000</v>
      </c>
      <c r="G137">
        <v>1936146</v>
      </c>
      <c r="H137">
        <v>4.9006962751746398E-4</v>
      </c>
      <c r="I137" s="1">
        <v>4.0755452662034401E-5</v>
      </c>
      <c r="J137">
        <v>308014.95341776899</v>
      </c>
      <c r="K137">
        <v>-0.17966915849720599</v>
      </c>
      <c r="M137">
        <v>623</v>
      </c>
      <c r="N137" t="s">
        <v>187</v>
      </c>
      <c r="O137">
        <v>2</v>
      </c>
      <c r="P137">
        <v>2213442163100</v>
      </c>
      <c r="Q137">
        <v>1607455021</v>
      </c>
      <c r="R137">
        <v>202904612.38</v>
      </c>
      <c r="S137">
        <v>19900131</v>
      </c>
      <c r="T137">
        <v>7.2622409015137999E-4</v>
      </c>
      <c r="U137" s="1">
        <v>9.1669263269036704E-5</v>
      </c>
      <c r="V137">
        <v>111227.517200766</v>
      </c>
      <c r="W137">
        <v>-0.72060434894784897</v>
      </c>
    </row>
    <row r="138" spans="1:23" x14ac:dyDescent="0.4">
      <c r="A138">
        <v>466</v>
      </c>
      <c r="B138" t="s">
        <v>146</v>
      </c>
      <c r="C138">
        <v>3</v>
      </c>
      <c r="D138">
        <v>185501449010</v>
      </c>
      <c r="E138">
        <v>198252853</v>
      </c>
      <c r="F138">
        <v>24825763</v>
      </c>
      <c r="G138">
        <v>3585636</v>
      </c>
      <c r="H138">
        <v>1.0687401853627101E-3</v>
      </c>
      <c r="I138">
        <v>1.3383056106834799E-4</v>
      </c>
      <c r="J138">
        <v>51734.601339901703</v>
      </c>
      <c r="K138">
        <v>-0.18408570624323201</v>
      </c>
      <c r="M138">
        <v>390</v>
      </c>
      <c r="N138" t="s">
        <v>192</v>
      </c>
      <c r="O138">
        <v>1</v>
      </c>
      <c r="P138">
        <v>253146621356000</v>
      </c>
      <c r="Q138">
        <v>175638353000</v>
      </c>
      <c r="R138">
        <v>25091958719.27</v>
      </c>
      <c r="S138">
        <v>2671895561</v>
      </c>
      <c r="T138">
        <v>6.9382064852052596E-4</v>
      </c>
      <c r="U138" s="1">
        <v>9.9120259179691705E-5</v>
      </c>
      <c r="V138">
        <v>94744.205219329597</v>
      </c>
      <c r="W138">
        <v>-0.78088816315184895</v>
      </c>
    </row>
    <row r="139" spans="1:23" x14ac:dyDescent="0.4">
      <c r="A139">
        <v>783</v>
      </c>
      <c r="B139" t="s">
        <v>147</v>
      </c>
      <c r="C139">
        <v>1</v>
      </c>
      <c r="D139">
        <v>11916181200000</v>
      </c>
      <c r="E139">
        <v>4787042075</v>
      </c>
      <c r="F139">
        <v>568171938.03999996</v>
      </c>
      <c r="G139">
        <v>38675093</v>
      </c>
      <c r="H139">
        <v>4.0172619018247202E-4</v>
      </c>
      <c r="I139" s="1">
        <v>4.7680706469955301E-5</v>
      </c>
      <c r="J139">
        <v>308109.95593468897</v>
      </c>
      <c r="K139">
        <v>-0.19735555971677399</v>
      </c>
      <c r="M139">
        <v>336</v>
      </c>
      <c r="N139" t="s">
        <v>189</v>
      </c>
      <c r="O139">
        <v>1</v>
      </c>
      <c r="P139">
        <v>2501664000000</v>
      </c>
      <c r="Q139">
        <v>2435406304</v>
      </c>
      <c r="R139">
        <v>107782871.25</v>
      </c>
      <c r="S139">
        <v>16019178</v>
      </c>
      <c r="T139">
        <v>9.7351455031531001E-4</v>
      </c>
      <c r="U139" s="1">
        <v>4.3084471475785702E-5</v>
      </c>
      <c r="V139">
        <v>156166.81455190701</v>
      </c>
      <c r="W139">
        <v>-0.80530248549146699</v>
      </c>
    </row>
    <row r="140" spans="1:23" x14ac:dyDescent="0.4">
      <c r="A140">
        <v>5</v>
      </c>
      <c r="B140" t="s">
        <v>148</v>
      </c>
      <c r="C140">
        <v>2</v>
      </c>
      <c r="D140">
        <v>1699205200000</v>
      </c>
      <c r="E140">
        <v>2004032796.72</v>
      </c>
      <c r="F140">
        <v>230673953.44999999</v>
      </c>
      <c r="G140">
        <v>60167577</v>
      </c>
      <c r="H140">
        <v>1.1793942230873501E-3</v>
      </c>
      <c r="I140">
        <v>1.3575402985466299E-4</v>
      </c>
      <c r="J140">
        <v>28241.210378141001</v>
      </c>
      <c r="K140">
        <v>-0.206147693670232</v>
      </c>
      <c r="M140">
        <v>1035</v>
      </c>
      <c r="N140" t="s">
        <v>178</v>
      </c>
      <c r="O140">
        <v>1</v>
      </c>
      <c r="P140">
        <v>24978612570000</v>
      </c>
      <c r="Q140">
        <v>3696383967</v>
      </c>
      <c r="R140">
        <v>869552478.55999994</v>
      </c>
      <c r="S140">
        <v>78874358</v>
      </c>
      <c r="T140">
        <v>1.4798195682971799E-4</v>
      </c>
      <c r="U140" s="1">
        <v>3.4811880608787499E-5</v>
      </c>
      <c r="V140">
        <v>316688.632445033</v>
      </c>
      <c r="W140">
        <v>-0.82623534066187698</v>
      </c>
    </row>
    <row r="141" spans="1:23" x14ac:dyDescent="0.4">
      <c r="A141">
        <v>497</v>
      </c>
      <c r="B141" t="s">
        <v>149</v>
      </c>
      <c r="C141">
        <v>2</v>
      </c>
      <c r="D141">
        <v>1668705474240</v>
      </c>
      <c r="E141">
        <v>1753090346.1400001</v>
      </c>
      <c r="F141">
        <v>257825000</v>
      </c>
      <c r="G141">
        <v>104305466</v>
      </c>
      <c r="H141">
        <v>1.0505690627870799E-3</v>
      </c>
      <c r="I141">
        <v>1.54505995204111E-4</v>
      </c>
      <c r="J141">
        <v>15998.2552998708</v>
      </c>
      <c r="K141">
        <v>-0.20632757619485301</v>
      </c>
      <c r="M141">
        <v>384</v>
      </c>
      <c r="N141" t="s">
        <v>193</v>
      </c>
      <c r="O141">
        <v>1</v>
      </c>
      <c r="P141">
        <v>4828560000000</v>
      </c>
      <c r="Q141">
        <v>4288426206.1399999</v>
      </c>
      <c r="R141">
        <v>491961820.27999997</v>
      </c>
      <c r="S141">
        <v>98112427</v>
      </c>
      <c r="T141">
        <v>8.8813770692297404E-4</v>
      </c>
      <c r="U141">
        <v>1.0188582523153901E-4</v>
      </c>
      <c r="V141">
        <v>49214.560760993103</v>
      </c>
      <c r="W141">
        <v>-0.82770807993893303</v>
      </c>
    </row>
    <row r="142" spans="1:23" x14ac:dyDescent="0.4">
      <c r="A142">
        <v>921</v>
      </c>
      <c r="B142" t="s">
        <v>150</v>
      </c>
      <c r="C142">
        <v>3</v>
      </c>
      <c r="D142">
        <v>192874000000</v>
      </c>
      <c r="E142">
        <v>111811691</v>
      </c>
      <c r="F142">
        <v>24975000</v>
      </c>
      <c r="G142">
        <v>1439224</v>
      </c>
      <c r="H142">
        <v>5.79713652436305E-4</v>
      </c>
      <c r="I142">
        <v>1.2948868173004099E-4</v>
      </c>
      <c r="J142">
        <v>134012.495622641</v>
      </c>
      <c r="K142">
        <v>-0.21786084207728801</v>
      </c>
      <c r="M142">
        <v>707</v>
      </c>
      <c r="N142" t="s">
        <v>188</v>
      </c>
      <c r="O142">
        <v>2</v>
      </c>
      <c r="P142">
        <v>1437012529200</v>
      </c>
      <c r="Q142">
        <v>241988795</v>
      </c>
      <c r="R142">
        <v>100187500</v>
      </c>
      <c r="S142">
        <v>6019889</v>
      </c>
      <c r="T142">
        <v>1.6839713647779901E-4</v>
      </c>
      <c r="U142" s="1">
        <v>6.9719294692423704E-5</v>
      </c>
      <c r="V142">
        <v>238710.80167757199</v>
      </c>
      <c r="W142">
        <v>-0.85566408238060898</v>
      </c>
    </row>
    <row r="143" spans="1:23" x14ac:dyDescent="0.4">
      <c r="A143">
        <v>859</v>
      </c>
      <c r="B143" t="s">
        <v>151</v>
      </c>
      <c r="C143">
        <v>1</v>
      </c>
      <c r="D143">
        <v>28434697607000</v>
      </c>
      <c r="E143">
        <v>15434100925</v>
      </c>
      <c r="F143">
        <v>350210714.29000002</v>
      </c>
      <c r="G143">
        <v>83085849</v>
      </c>
      <c r="H143">
        <v>5.42791104667857E-4</v>
      </c>
      <c r="I143" s="1">
        <v>1.23163157607762E-5</v>
      </c>
      <c r="J143">
        <v>342232.73817662901</v>
      </c>
      <c r="K143">
        <v>-0.24568984581055001</v>
      </c>
      <c r="M143">
        <v>522</v>
      </c>
      <c r="N143" t="s">
        <v>194</v>
      </c>
      <c r="O143">
        <v>1</v>
      </c>
      <c r="P143">
        <v>3730574254800</v>
      </c>
      <c r="Q143">
        <v>4189546066</v>
      </c>
      <c r="R143">
        <v>178647829.02000001</v>
      </c>
      <c r="S143">
        <v>36346848</v>
      </c>
      <c r="T143">
        <v>1.12302980180851E-3</v>
      </c>
      <c r="U143" s="1">
        <v>4.7887487774875399E-5</v>
      </c>
      <c r="V143">
        <v>102638.178001019</v>
      </c>
      <c r="W143">
        <v>-0.95244646758321005</v>
      </c>
    </row>
    <row r="144" spans="1:23" x14ac:dyDescent="0.4">
      <c r="A144">
        <v>1049</v>
      </c>
      <c r="B144" t="s">
        <v>152</v>
      </c>
      <c r="C144">
        <v>1</v>
      </c>
      <c r="D144">
        <v>15049791574400</v>
      </c>
      <c r="E144">
        <v>16564065033</v>
      </c>
      <c r="F144">
        <v>2056659396.45</v>
      </c>
      <c r="G144">
        <v>441333115</v>
      </c>
      <c r="H144">
        <v>1.1006175700915199E-3</v>
      </c>
      <c r="I144">
        <v>1.3665700194469201E-4</v>
      </c>
      <c r="J144">
        <v>34100.753065855897</v>
      </c>
      <c r="K144">
        <v>-0.25380668000791001</v>
      </c>
      <c r="M144">
        <v>478</v>
      </c>
      <c r="N144" t="s">
        <v>198</v>
      </c>
      <c r="O144">
        <v>2</v>
      </c>
      <c r="P144">
        <v>376219473000</v>
      </c>
      <c r="Q144">
        <v>456315061</v>
      </c>
      <c r="R144">
        <v>27925000</v>
      </c>
      <c r="S144">
        <v>12493527</v>
      </c>
      <c r="T144">
        <v>1.2128959124877599E-3</v>
      </c>
      <c r="U144" s="1">
        <v>7.42252913633739E-5</v>
      </c>
      <c r="V144">
        <v>30113.1516344423</v>
      </c>
      <c r="W144">
        <v>-0.97894687720664997</v>
      </c>
    </row>
    <row r="145" spans="1:23" x14ac:dyDescent="0.4">
      <c r="A145">
        <v>352</v>
      </c>
      <c r="B145" t="s">
        <v>153</v>
      </c>
      <c r="C145">
        <v>1</v>
      </c>
      <c r="D145">
        <v>2068204800000</v>
      </c>
      <c r="E145">
        <v>2336924681</v>
      </c>
      <c r="F145">
        <v>94545130.840000004</v>
      </c>
      <c r="G145">
        <v>11382268</v>
      </c>
      <c r="H145">
        <v>1.1299290481290799E-3</v>
      </c>
      <c r="I145" s="1">
        <v>4.5713621223584802E-5</v>
      </c>
      <c r="J145">
        <v>181704.103259561</v>
      </c>
      <c r="K145">
        <v>-0.31885926393274799</v>
      </c>
      <c r="M145">
        <v>895</v>
      </c>
      <c r="N145" t="s">
        <v>195</v>
      </c>
      <c r="O145">
        <v>2</v>
      </c>
      <c r="P145">
        <v>568344000000</v>
      </c>
      <c r="Q145">
        <v>459157853</v>
      </c>
      <c r="R145">
        <v>33485821</v>
      </c>
      <c r="S145">
        <v>4284000</v>
      </c>
      <c r="T145">
        <v>8.0788721795250703E-4</v>
      </c>
      <c r="U145" s="1">
        <v>5.8918227341187699E-5</v>
      </c>
      <c r="V145">
        <v>132666.66666666599</v>
      </c>
      <c r="W145">
        <v>-0.98110749422900301</v>
      </c>
    </row>
    <row r="146" spans="1:23" x14ac:dyDescent="0.4">
      <c r="A146">
        <v>432</v>
      </c>
      <c r="B146" t="s">
        <v>154</v>
      </c>
      <c r="C146">
        <v>1</v>
      </c>
      <c r="D146">
        <v>2632047248710</v>
      </c>
      <c r="E146">
        <v>4391739000</v>
      </c>
      <c r="F146">
        <v>226350000</v>
      </c>
      <c r="G146">
        <v>106557713</v>
      </c>
      <c r="H146">
        <v>1.66856389153061E-3</v>
      </c>
      <c r="I146" s="1">
        <v>8.5997696322107E-5</v>
      </c>
      <c r="J146">
        <v>24700.673227755899</v>
      </c>
      <c r="K146">
        <v>-0.32001451387408297</v>
      </c>
      <c r="M146">
        <v>948</v>
      </c>
      <c r="N146" t="s">
        <v>201</v>
      </c>
      <c r="O146">
        <v>2</v>
      </c>
      <c r="P146">
        <v>2789969129500</v>
      </c>
      <c r="Q146">
        <v>2501913098</v>
      </c>
      <c r="R146">
        <v>250946875</v>
      </c>
      <c r="S146">
        <v>56938146</v>
      </c>
      <c r="T146">
        <v>8.9675296817652399E-4</v>
      </c>
      <c r="U146" s="1">
        <v>8.9946111713778306E-5</v>
      </c>
      <c r="V146">
        <v>48999.999569708503</v>
      </c>
      <c r="W146">
        <v>-1.0228547782038799</v>
      </c>
    </row>
    <row r="147" spans="1:23" x14ac:dyDescent="0.4">
      <c r="A147">
        <v>688</v>
      </c>
      <c r="B147" t="s">
        <v>155</v>
      </c>
      <c r="C147">
        <v>3</v>
      </c>
      <c r="D147">
        <v>110160000000</v>
      </c>
      <c r="E147">
        <v>55392502</v>
      </c>
      <c r="F147">
        <v>14425000</v>
      </c>
      <c r="G147">
        <v>840000</v>
      </c>
      <c r="H147">
        <v>5.0283680101670196E-4</v>
      </c>
      <c r="I147">
        <v>1.30945896877269E-4</v>
      </c>
      <c r="J147">
        <v>131142.85714285701</v>
      </c>
      <c r="K147">
        <v>-0.33412932647072002</v>
      </c>
      <c r="M147">
        <v>125</v>
      </c>
      <c r="N147" t="s">
        <v>200</v>
      </c>
      <c r="O147">
        <v>2</v>
      </c>
      <c r="P147">
        <v>1040874546250</v>
      </c>
      <c r="Q147">
        <v>826890933</v>
      </c>
      <c r="R147">
        <v>88342601</v>
      </c>
      <c r="S147">
        <v>13764630</v>
      </c>
      <c r="T147">
        <v>7.9441940047344996E-4</v>
      </c>
      <c r="U147" s="1">
        <v>8.4873437743554497E-5</v>
      </c>
      <c r="V147">
        <v>75619.507843654297</v>
      </c>
      <c r="W147">
        <v>-1.03820501923375</v>
      </c>
    </row>
    <row r="148" spans="1:23" x14ac:dyDescent="0.4">
      <c r="A148">
        <v>391</v>
      </c>
      <c r="B148" t="s">
        <v>156</v>
      </c>
      <c r="C148">
        <v>1</v>
      </c>
      <c r="D148">
        <v>2936799830990</v>
      </c>
      <c r="E148">
        <v>4574589000</v>
      </c>
      <c r="F148">
        <v>277106487.06</v>
      </c>
      <c r="G148">
        <v>112184801</v>
      </c>
      <c r="H148">
        <v>1.55767817463333E-3</v>
      </c>
      <c r="I148" s="1">
        <v>9.4356613663583195E-5</v>
      </c>
      <c r="J148">
        <v>26178.232744647801</v>
      </c>
      <c r="K148">
        <v>-0.33508907883844902</v>
      </c>
      <c r="M148">
        <v>901</v>
      </c>
      <c r="N148" t="s">
        <v>203</v>
      </c>
      <c r="O148">
        <v>1</v>
      </c>
      <c r="P148">
        <v>5130183491750</v>
      </c>
      <c r="Q148">
        <v>4579168000</v>
      </c>
      <c r="R148">
        <v>456186761.50999999</v>
      </c>
      <c r="S148">
        <v>109152840</v>
      </c>
      <c r="T148">
        <v>8.9259341451702304E-4</v>
      </c>
      <c r="U148" s="1">
        <v>8.8922114042042994E-5</v>
      </c>
      <c r="V148">
        <v>47000.000107647204</v>
      </c>
      <c r="W148">
        <v>-1.0638263048588299</v>
      </c>
    </row>
    <row r="149" spans="1:23" x14ac:dyDescent="0.4">
      <c r="A149">
        <v>246</v>
      </c>
      <c r="B149" t="s">
        <v>157</v>
      </c>
      <c r="C149">
        <v>1</v>
      </c>
      <c r="D149">
        <v>11300845334250</v>
      </c>
      <c r="E149">
        <v>13387594000</v>
      </c>
      <c r="F149">
        <v>1295227569.1400001</v>
      </c>
      <c r="G149">
        <v>224202345</v>
      </c>
      <c r="H149">
        <v>1.18465420984265E-3</v>
      </c>
      <c r="I149">
        <v>1.14613334740056E-4</v>
      </c>
      <c r="J149">
        <v>50404.670541024003</v>
      </c>
      <c r="K149">
        <v>-0.335385426439959</v>
      </c>
      <c r="M149">
        <v>298</v>
      </c>
      <c r="N149" t="s">
        <v>202</v>
      </c>
      <c r="O149">
        <v>1</v>
      </c>
      <c r="P149">
        <v>1909949588000</v>
      </c>
      <c r="Q149">
        <v>1759087683</v>
      </c>
      <c r="R149">
        <v>130730247.15000001</v>
      </c>
      <c r="S149">
        <v>23130500</v>
      </c>
      <c r="T149">
        <v>9.2101262465362995E-4</v>
      </c>
      <c r="U149" s="1">
        <v>6.8446962145683602E-5</v>
      </c>
      <c r="V149">
        <v>82572.775685782806</v>
      </c>
      <c r="W149">
        <v>-1.07219431446264</v>
      </c>
    </row>
    <row r="150" spans="1:23" x14ac:dyDescent="0.4">
      <c r="A150">
        <v>419</v>
      </c>
      <c r="B150" t="s">
        <v>158</v>
      </c>
      <c r="C150">
        <v>1</v>
      </c>
      <c r="D150">
        <v>6680833573600</v>
      </c>
      <c r="E150">
        <v>10949600986</v>
      </c>
      <c r="F150">
        <v>308329940.22000003</v>
      </c>
      <c r="G150">
        <v>68728639</v>
      </c>
      <c r="H150">
        <v>1.6389573045597801E-3</v>
      </c>
      <c r="I150" s="1">
        <v>4.61514176072874E-5</v>
      </c>
      <c r="J150">
        <v>97205.963493617193</v>
      </c>
      <c r="K150">
        <v>-0.339001555021825</v>
      </c>
      <c r="M150">
        <v>48</v>
      </c>
      <c r="N150" t="s">
        <v>205</v>
      </c>
      <c r="O150">
        <v>1</v>
      </c>
      <c r="P150">
        <v>29265695073000</v>
      </c>
      <c r="Q150">
        <v>21697159000</v>
      </c>
      <c r="R150">
        <v>2398063114.04</v>
      </c>
      <c r="S150">
        <v>353000898</v>
      </c>
      <c r="T150">
        <v>7.4138539836073796E-4</v>
      </c>
      <c r="U150" s="1">
        <v>8.1941095472302895E-5</v>
      </c>
      <c r="V150">
        <v>82905.440860946401</v>
      </c>
      <c r="W150">
        <v>-1.1067769285595199</v>
      </c>
    </row>
    <row r="151" spans="1:23" x14ac:dyDescent="0.4">
      <c r="A151">
        <v>370</v>
      </c>
      <c r="B151" t="s">
        <v>159</v>
      </c>
      <c r="C151">
        <v>1</v>
      </c>
      <c r="D151">
        <v>1708543782000</v>
      </c>
      <c r="E151">
        <v>271575177</v>
      </c>
      <c r="F151">
        <v>59544166.670000002</v>
      </c>
      <c r="G151">
        <v>4899307</v>
      </c>
      <c r="H151">
        <v>1.5895125419735899E-4</v>
      </c>
      <c r="I151" s="1">
        <v>3.4850828698283802E-5</v>
      </c>
      <c r="J151">
        <v>348731.72511949099</v>
      </c>
      <c r="K151">
        <v>-0.38837221216989998</v>
      </c>
      <c r="M151">
        <v>1135</v>
      </c>
      <c r="N151" t="s">
        <v>204</v>
      </c>
      <c r="O151">
        <v>2</v>
      </c>
      <c r="P151">
        <v>509421000000</v>
      </c>
      <c r="Q151">
        <v>181483615</v>
      </c>
      <c r="R151">
        <v>49482700.549999997</v>
      </c>
      <c r="S151">
        <v>4308000</v>
      </c>
      <c r="T151">
        <v>3.5625467933202598E-4</v>
      </c>
      <c r="U151" s="1">
        <v>9.7135180037729094E-5</v>
      </c>
      <c r="V151">
        <v>118250</v>
      </c>
      <c r="W151">
        <v>-1.1237025060089501</v>
      </c>
    </row>
    <row r="152" spans="1:23" x14ac:dyDescent="0.4">
      <c r="A152">
        <v>816</v>
      </c>
      <c r="B152" t="s">
        <v>160</v>
      </c>
      <c r="C152">
        <v>3</v>
      </c>
      <c r="D152">
        <v>61610692100</v>
      </c>
      <c r="E152">
        <v>60735326</v>
      </c>
      <c r="F152">
        <v>8450000</v>
      </c>
      <c r="G152">
        <v>1819632</v>
      </c>
      <c r="H152">
        <v>9.8579197749346504E-4</v>
      </c>
      <c r="I152">
        <v>1.3715151886761501E-4</v>
      </c>
      <c r="J152">
        <v>33858.874816446398</v>
      </c>
      <c r="K152">
        <v>-0.41737308879401402</v>
      </c>
      <c r="M152">
        <v>957</v>
      </c>
      <c r="N152" t="s">
        <v>208</v>
      </c>
      <c r="O152">
        <v>1</v>
      </c>
      <c r="P152">
        <v>17259428154500</v>
      </c>
      <c r="Q152">
        <v>13382959000</v>
      </c>
      <c r="R152">
        <v>1541620454.2</v>
      </c>
      <c r="S152">
        <v>296600873</v>
      </c>
      <c r="T152">
        <v>7.7539990781853895E-4</v>
      </c>
      <c r="U152" s="1">
        <v>8.9320482718198101E-5</v>
      </c>
      <c r="V152">
        <v>58190.753047783503</v>
      </c>
      <c r="W152">
        <v>-1.1382746294288999</v>
      </c>
    </row>
    <row r="153" spans="1:23" x14ac:dyDescent="0.4">
      <c r="A153">
        <v>324</v>
      </c>
      <c r="B153" t="s">
        <v>161</v>
      </c>
      <c r="C153">
        <v>1</v>
      </c>
      <c r="D153">
        <v>4565269150000</v>
      </c>
      <c r="E153">
        <v>3408732262</v>
      </c>
      <c r="F153">
        <v>705045768.53999996</v>
      </c>
      <c r="G153">
        <v>116440114</v>
      </c>
      <c r="H153">
        <v>7.4666622054474002E-4</v>
      </c>
      <c r="I153">
        <v>1.5443684597215901E-4</v>
      </c>
      <c r="J153">
        <v>39207.013744421398</v>
      </c>
      <c r="K153">
        <v>-0.44193087117934898</v>
      </c>
      <c r="M153">
        <v>1090</v>
      </c>
      <c r="N153" t="s">
        <v>211</v>
      </c>
      <c r="O153">
        <v>2</v>
      </c>
      <c r="P153">
        <v>461871919000</v>
      </c>
      <c r="Q153">
        <v>377369101</v>
      </c>
      <c r="R153">
        <v>46620995.75</v>
      </c>
      <c r="S153">
        <v>17598063</v>
      </c>
      <c r="T153">
        <v>8.1704274599989199E-4</v>
      </c>
      <c r="U153">
        <v>1.0093922975646399E-4</v>
      </c>
      <c r="V153">
        <v>26245.611178912099</v>
      </c>
      <c r="W153">
        <v>-1.1465390079728</v>
      </c>
    </row>
    <row r="154" spans="1:23" x14ac:dyDescent="0.4">
      <c r="A154">
        <v>652</v>
      </c>
      <c r="B154" t="s">
        <v>162</v>
      </c>
      <c r="C154">
        <v>2</v>
      </c>
      <c r="D154">
        <v>3379068000000</v>
      </c>
      <c r="E154">
        <v>2243538876</v>
      </c>
      <c r="F154">
        <v>210747028.69999999</v>
      </c>
      <c r="G154">
        <v>15939000</v>
      </c>
      <c r="H154">
        <v>6.6395197610702103E-4</v>
      </c>
      <c r="I154" s="1">
        <v>6.2368389360616594E-5</v>
      </c>
      <c r="J154">
        <v>212000</v>
      </c>
      <c r="K154">
        <v>-0.458452068341059</v>
      </c>
      <c r="M154">
        <v>1071</v>
      </c>
      <c r="N154" t="s">
        <v>206</v>
      </c>
      <c r="O154">
        <v>1</v>
      </c>
      <c r="P154">
        <v>1072000000000</v>
      </c>
      <c r="Q154">
        <v>445224238</v>
      </c>
      <c r="R154">
        <v>102808156.59</v>
      </c>
      <c r="S154">
        <v>10000000</v>
      </c>
      <c r="T154">
        <v>4.1532111753731302E-4</v>
      </c>
      <c r="U154" s="1">
        <v>9.5903131147388E-5</v>
      </c>
      <c r="V154">
        <v>107200</v>
      </c>
      <c r="W154">
        <v>-1.15001707293209</v>
      </c>
    </row>
    <row r="155" spans="1:23" x14ac:dyDescent="0.4">
      <c r="A155">
        <v>1051</v>
      </c>
      <c r="B155" t="s">
        <v>163</v>
      </c>
      <c r="C155">
        <v>1</v>
      </c>
      <c r="D155">
        <v>5016706914000</v>
      </c>
      <c r="E155">
        <v>3263226247</v>
      </c>
      <c r="F155">
        <v>475847357.56</v>
      </c>
      <c r="G155">
        <v>32002270</v>
      </c>
      <c r="H155">
        <v>6.50471774201796E-4</v>
      </c>
      <c r="I155" s="1">
        <v>9.4852532890064695E-5</v>
      </c>
      <c r="J155">
        <v>156760.97083113101</v>
      </c>
      <c r="K155">
        <v>-0.46281860581900403</v>
      </c>
      <c r="M155">
        <v>1009</v>
      </c>
      <c r="N155" t="s">
        <v>197</v>
      </c>
      <c r="O155">
        <v>1</v>
      </c>
      <c r="P155">
        <v>1771201898100</v>
      </c>
      <c r="Q155">
        <v>426406201</v>
      </c>
      <c r="R155">
        <v>81062389.340000004</v>
      </c>
      <c r="S155">
        <v>7406460</v>
      </c>
      <c r="T155">
        <v>2.40743983764591E-4</v>
      </c>
      <c r="U155" s="1">
        <v>4.5766882604945803E-5</v>
      </c>
      <c r="V155">
        <v>239142.84261307001</v>
      </c>
      <c r="W155">
        <v>-1.1568724370721299</v>
      </c>
    </row>
    <row r="156" spans="1:23" x14ac:dyDescent="0.4">
      <c r="A156">
        <v>163</v>
      </c>
      <c r="B156" t="s">
        <v>164</v>
      </c>
      <c r="C156">
        <v>2</v>
      </c>
      <c r="D156">
        <v>940802532000</v>
      </c>
      <c r="E156">
        <v>915889246</v>
      </c>
      <c r="F156">
        <v>68080000</v>
      </c>
      <c r="G156">
        <v>6545660</v>
      </c>
      <c r="H156">
        <v>9.7351911251021095E-4</v>
      </c>
      <c r="I156" s="1">
        <v>7.2363750823748794E-5</v>
      </c>
      <c r="J156">
        <v>143729.208666505</v>
      </c>
      <c r="K156">
        <v>-0.46917382662507501</v>
      </c>
      <c r="M156">
        <v>567</v>
      </c>
      <c r="N156" t="s">
        <v>210</v>
      </c>
      <c r="O156">
        <v>2</v>
      </c>
      <c r="P156">
        <v>1260000000000</v>
      </c>
      <c r="Q156">
        <v>1019077319</v>
      </c>
      <c r="R156">
        <v>116521428.56999999</v>
      </c>
      <c r="S156">
        <v>29325028</v>
      </c>
      <c r="T156">
        <v>8.0879152301587302E-4</v>
      </c>
      <c r="U156" s="1">
        <v>9.2477324261904697E-5</v>
      </c>
      <c r="V156">
        <v>42966.710892825002</v>
      </c>
      <c r="W156">
        <v>-1.1629365653483199</v>
      </c>
    </row>
    <row r="157" spans="1:23" x14ac:dyDescent="0.4">
      <c r="A157">
        <v>802</v>
      </c>
      <c r="B157" t="s">
        <v>165</v>
      </c>
      <c r="C157">
        <v>2</v>
      </c>
      <c r="D157">
        <v>999978000000</v>
      </c>
      <c r="E157">
        <v>852690951</v>
      </c>
      <c r="F157">
        <v>78260707.75</v>
      </c>
      <c r="G157">
        <v>6590878</v>
      </c>
      <c r="H157">
        <v>8.5270971061363304E-4</v>
      </c>
      <c r="I157" s="1">
        <v>7.8262429523449499E-5</v>
      </c>
      <c r="J157">
        <v>151721.515707012</v>
      </c>
      <c r="K157">
        <v>-0.478598388166938</v>
      </c>
      <c r="M157">
        <v>448</v>
      </c>
      <c r="N157" t="s">
        <v>209</v>
      </c>
      <c r="O157">
        <v>2</v>
      </c>
      <c r="P157">
        <v>366110400000</v>
      </c>
      <c r="Q157">
        <v>218691263</v>
      </c>
      <c r="R157">
        <v>30279558.75</v>
      </c>
      <c r="S157">
        <v>3847759</v>
      </c>
      <c r="T157">
        <v>5.9733693170147505E-4</v>
      </c>
      <c r="U157" s="1">
        <v>8.2706087426087803E-5</v>
      </c>
      <c r="V157">
        <v>95148.994518627602</v>
      </c>
      <c r="W157">
        <v>-1.20638597863946</v>
      </c>
    </row>
    <row r="158" spans="1:23" x14ac:dyDescent="0.4">
      <c r="A158">
        <v>107</v>
      </c>
      <c r="B158" t="s">
        <v>166</v>
      </c>
      <c r="C158">
        <v>1</v>
      </c>
      <c r="D158">
        <v>3240750000000</v>
      </c>
      <c r="E158">
        <v>3504313509.8400002</v>
      </c>
      <c r="F158">
        <v>362461356.85000002</v>
      </c>
      <c r="G158">
        <v>59801586</v>
      </c>
      <c r="H158">
        <v>1.0813279363850899E-3</v>
      </c>
      <c r="I158">
        <v>1.11844899128288E-4</v>
      </c>
      <c r="J158">
        <v>54191.7065544047</v>
      </c>
      <c r="K158">
        <v>-0.497542211409989</v>
      </c>
      <c r="M158">
        <v>960</v>
      </c>
      <c r="N158" t="s">
        <v>213</v>
      </c>
      <c r="O158">
        <v>2</v>
      </c>
      <c r="P158">
        <v>765151456000</v>
      </c>
      <c r="Q158">
        <v>513466909</v>
      </c>
      <c r="R158">
        <v>76485501.409999996</v>
      </c>
      <c r="S158">
        <v>16647174</v>
      </c>
      <c r="T158">
        <v>6.71065715125555E-4</v>
      </c>
      <c r="U158" s="1">
        <v>9.9961257095222702E-5</v>
      </c>
      <c r="V158">
        <v>45962.843663435</v>
      </c>
      <c r="W158">
        <v>-1.2155933583448599</v>
      </c>
    </row>
    <row r="159" spans="1:23" x14ac:dyDescent="0.4">
      <c r="A159">
        <v>376</v>
      </c>
      <c r="B159" t="s">
        <v>167</v>
      </c>
      <c r="C159">
        <v>2</v>
      </c>
      <c r="D159">
        <v>447323381000</v>
      </c>
      <c r="E159">
        <v>293692167</v>
      </c>
      <c r="F159">
        <v>40637500</v>
      </c>
      <c r="G159">
        <v>2855404</v>
      </c>
      <c r="H159">
        <v>6.5655447373093995E-4</v>
      </c>
      <c r="I159" s="1">
        <v>9.0845910869121301E-5</v>
      </c>
      <c r="J159">
        <v>156658.52572875799</v>
      </c>
      <c r="K159">
        <v>-0.51942031105956499</v>
      </c>
      <c r="M159">
        <v>1080</v>
      </c>
      <c r="N159" t="s">
        <v>212</v>
      </c>
      <c r="O159">
        <v>2</v>
      </c>
      <c r="P159">
        <v>426092874750</v>
      </c>
      <c r="Q159">
        <v>333624506</v>
      </c>
      <c r="R159">
        <v>28754500.670000002</v>
      </c>
      <c r="S159">
        <v>4898520</v>
      </c>
      <c r="T159">
        <v>7.8298541414414903E-4</v>
      </c>
      <c r="U159" s="1">
        <v>6.7484115257433094E-5</v>
      </c>
      <c r="V159">
        <v>86984.002259866204</v>
      </c>
      <c r="W159">
        <v>-1.25921393202244</v>
      </c>
    </row>
    <row r="160" spans="1:23" x14ac:dyDescent="0.4">
      <c r="A160">
        <v>129</v>
      </c>
      <c r="B160" t="s">
        <v>168</v>
      </c>
      <c r="C160">
        <v>2</v>
      </c>
      <c r="D160">
        <v>1667944315230</v>
      </c>
      <c r="E160">
        <v>2502821868</v>
      </c>
      <c r="F160">
        <v>107283333.33</v>
      </c>
      <c r="G160">
        <v>24818764</v>
      </c>
      <c r="H160">
        <v>1.5005428209723299E-3</v>
      </c>
      <c r="I160" s="1">
        <v>6.4320692453816205E-5</v>
      </c>
      <c r="J160">
        <v>67204.971014269599</v>
      </c>
      <c r="K160">
        <v>-0.52618078605129204</v>
      </c>
      <c r="M160">
        <v>951</v>
      </c>
      <c r="N160" t="s">
        <v>214</v>
      </c>
      <c r="O160">
        <v>2</v>
      </c>
      <c r="P160">
        <v>870232462000</v>
      </c>
      <c r="Q160">
        <v>540947414</v>
      </c>
      <c r="R160">
        <v>68312500</v>
      </c>
      <c r="S160">
        <v>9647810</v>
      </c>
      <c r="T160">
        <v>6.2161254333902298E-4</v>
      </c>
      <c r="U160" s="1">
        <v>7.8499140152737704E-5</v>
      </c>
      <c r="V160">
        <v>90200</v>
      </c>
      <c r="W160">
        <v>-1.2846080796602199</v>
      </c>
    </row>
    <row r="161" spans="1:23" x14ac:dyDescent="0.4">
      <c r="A161">
        <v>395</v>
      </c>
      <c r="B161" t="s">
        <v>169</v>
      </c>
      <c r="C161">
        <v>2</v>
      </c>
      <c r="D161">
        <v>1014004800000</v>
      </c>
      <c r="E161">
        <v>736677415</v>
      </c>
      <c r="F161">
        <v>88237500</v>
      </c>
      <c r="G161">
        <v>6726400</v>
      </c>
      <c r="H161">
        <v>7.2650288736305702E-4</v>
      </c>
      <c r="I161" s="1">
        <v>8.7018818845827894E-5</v>
      </c>
      <c r="J161">
        <v>150750</v>
      </c>
      <c r="K161">
        <v>-0.53239684282050204</v>
      </c>
      <c r="M161">
        <v>886</v>
      </c>
      <c r="N161" t="s">
        <v>217</v>
      </c>
      <c r="O161">
        <v>1</v>
      </c>
      <c r="P161">
        <v>5804530439100</v>
      </c>
      <c r="Q161">
        <v>6650265791</v>
      </c>
      <c r="R161">
        <v>352339212.5</v>
      </c>
      <c r="S161">
        <v>173101043</v>
      </c>
      <c r="T161">
        <v>1.1457026301736699E-3</v>
      </c>
      <c r="U161" s="1">
        <v>6.0700726130506802E-5</v>
      </c>
      <c r="V161">
        <v>33532.613891298097</v>
      </c>
      <c r="W161">
        <v>-1.2847530365619499</v>
      </c>
    </row>
    <row r="162" spans="1:23" x14ac:dyDescent="0.4">
      <c r="A162">
        <v>273</v>
      </c>
      <c r="B162" t="s">
        <v>170</v>
      </c>
      <c r="C162">
        <v>2</v>
      </c>
      <c r="D162">
        <v>811410000000</v>
      </c>
      <c r="E162">
        <v>1095866163</v>
      </c>
      <c r="F162">
        <v>58958333.329999998</v>
      </c>
      <c r="G162">
        <v>12735000</v>
      </c>
      <c r="H162">
        <v>1.35057019632491E-3</v>
      </c>
      <c r="I162" s="1">
        <v>7.2661580865407099E-5</v>
      </c>
      <c r="J162">
        <v>63714.958775029401</v>
      </c>
      <c r="K162">
        <v>-0.64490780273053905</v>
      </c>
      <c r="M162">
        <v>753</v>
      </c>
      <c r="N162" t="s">
        <v>215</v>
      </c>
      <c r="O162">
        <v>2</v>
      </c>
      <c r="P162">
        <v>288301085000</v>
      </c>
      <c r="Q162">
        <v>214552666</v>
      </c>
      <c r="R162">
        <v>21500000</v>
      </c>
      <c r="S162">
        <v>3816768</v>
      </c>
      <c r="T162">
        <v>7.4419652635022103E-4</v>
      </c>
      <c r="U162" s="1">
        <v>7.4574814728844998E-5</v>
      </c>
      <c r="V162">
        <v>75535.396702131198</v>
      </c>
      <c r="W162">
        <v>-1.29251336925016</v>
      </c>
    </row>
    <row r="163" spans="1:23" x14ac:dyDescent="0.4">
      <c r="A163">
        <v>935</v>
      </c>
      <c r="B163" t="s">
        <v>171</v>
      </c>
      <c r="C163">
        <v>2</v>
      </c>
      <c r="D163">
        <v>1582341384000</v>
      </c>
      <c r="E163">
        <v>1166431157.1199999</v>
      </c>
      <c r="F163">
        <v>168235018.13</v>
      </c>
      <c r="G163">
        <v>15469818</v>
      </c>
      <c r="H163">
        <v>7.3715518592541501E-4</v>
      </c>
      <c r="I163">
        <v>1.06320304727617E-4</v>
      </c>
      <c r="J163">
        <v>102285.714285714</v>
      </c>
      <c r="K163">
        <v>-0.65145818835040703</v>
      </c>
      <c r="M163">
        <v>57</v>
      </c>
      <c r="N163" t="s">
        <v>216</v>
      </c>
      <c r="O163">
        <v>1</v>
      </c>
      <c r="P163">
        <v>13825402941500</v>
      </c>
      <c r="Q163">
        <v>11425577365.049999</v>
      </c>
      <c r="R163">
        <v>985971579.64999998</v>
      </c>
      <c r="S163">
        <v>207624727</v>
      </c>
      <c r="T163">
        <v>8.2641912235003299E-4</v>
      </c>
      <c r="U163" s="1">
        <v>7.1315938046940204E-5</v>
      </c>
      <c r="V163">
        <v>66588.422011507297</v>
      </c>
      <c r="W163">
        <v>-1.30107904547458</v>
      </c>
    </row>
    <row r="164" spans="1:23" x14ac:dyDescent="0.4">
      <c r="A164">
        <v>659</v>
      </c>
      <c r="B164" t="s">
        <v>172</v>
      </c>
      <c r="C164">
        <v>1</v>
      </c>
      <c r="D164">
        <v>3867208434000</v>
      </c>
      <c r="E164">
        <v>2473023894</v>
      </c>
      <c r="F164">
        <v>438489611.39999998</v>
      </c>
      <c r="G164">
        <v>36792090</v>
      </c>
      <c r="H164">
        <v>6.3948554524692505E-4</v>
      </c>
      <c r="I164">
        <v>1.13386598856388E-4</v>
      </c>
      <c r="J164">
        <v>105109.77859643201</v>
      </c>
      <c r="K164">
        <v>-0.65550091351220896</v>
      </c>
      <c r="M164">
        <v>1083</v>
      </c>
      <c r="N164" t="s">
        <v>222</v>
      </c>
      <c r="O164">
        <v>2</v>
      </c>
      <c r="P164">
        <v>682000000000</v>
      </c>
      <c r="Q164">
        <v>641181248</v>
      </c>
      <c r="R164">
        <v>41057000</v>
      </c>
      <c r="S164">
        <v>10837320</v>
      </c>
      <c r="T164">
        <v>9.4014845747800505E-4</v>
      </c>
      <c r="U164" s="1">
        <v>6.0200879765395801E-5</v>
      </c>
      <c r="V164">
        <v>62930.687660786898</v>
      </c>
      <c r="W164">
        <v>-1.3529354319476601</v>
      </c>
    </row>
    <row r="165" spans="1:23" x14ac:dyDescent="0.4">
      <c r="A165">
        <v>344</v>
      </c>
      <c r="B165" t="s">
        <v>173</v>
      </c>
      <c r="C165">
        <v>2</v>
      </c>
      <c r="D165">
        <v>353401630400</v>
      </c>
      <c r="E165">
        <v>293233807</v>
      </c>
      <c r="F165">
        <v>35391666.670000002</v>
      </c>
      <c r="G165">
        <v>3640814</v>
      </c>
      <c r="H165">
        <v>8.2974661624537799E-4</v>
      </c>
      <c r="I165">
        <v>1.00145736820573E-4</v>
      </c>
      <c r="J165">
        <v>97066.653336314295</v>
      </c>
      <c r="K165">
        <v>-0.66256538723255098</v>
      </c>
      <c r="M165">
        <v>911</v>
      </c>
      <c r="N165" t="s">
        <v>219</v>
      </c>
      <c r="O165">
        <v>2</v>
      </c>
      <c r="P165">
        <v>681150000000</v>
      </c>
      <c r="Q165">
        <v>444572034</v>
      </c>
      <c r="R165">
        <v>45425000</v>
      </c>
      <c r="S165">
        <v>6884771</v>
      </c>
      <c r="T165">
        <v>6.5267860823607095E-4</v>
      </c>
      <c r="U165" s="1">
        <v>6.6688688247816197E-5</v>
      </c>
      <c r="V165">
        <v>98935.7525471798</v>
      </c>
      <c r="W165">
        <v>-1.3675679030999801</v>
      </c>
    </row>
    <row r="166" spans="1:23" x14ac:dyDescent="0.4">
      <c r="A166">
        <v>590</v>
      </c>
      <c r="B166" t="s">
        <v>174</v>
      </c>
      <c r="C166">
        <v>1</v>
      </c>
      <c r="D166">
        <v>9348449758200</v>
      </c>
      <c r="E166">
        <v>6115314000</v>
      </c>
      <c r="F166">
        <v>1351297955.22</v>
      </c>
      <c r="G166">
        <v>202649026</v>
      </c>
      <c r="H166">
        <v>6.5415273742429304E-4</v>
      </c>
      <c r="I166">
        <v>1.44547811687676E-4</v>
      </c>
      <c r="J166">
        <v>46131.234591771397</v>
      </c>
      <c r="K166">
        <v>-0.67412357084019903</v>
      </c>
      <c r="M166">
        <v>958</v>
      </c>
      <c r="N166" t="s">
        <v>220</v>
      </c>
      <c r="O166">
        <v>2</v>
      </c>
      <c r="P166">
        <v>1114113000000</v>
      </c>
      <c r="Q166">
        <v>437992235</v>
      </c>
      <c r="R166">
        <v>70364901.719999999</v>
      </c>
      <c r="S166">
        <v>7608701</v>
      </c>
      <c r="T166">
        <v>3.9313088977509399E-4</v>
      </c>
      <c r="U166" s="1">
        <v>6.3157778178694597E-5</v>
      </c>
      <c r="V166">
        <v>146426.17708331501</v>
      </c>
      <c r="W166">
        <v>-1.4155479867141401</v>
      </c>
    </row>
    <row r="167" spans="1:23" x14ac:dyDescent="0.4">
      <c r="A167">
        <v>963</v>
      </c>
      <c r="B167" t="s">
        <v>175</v>
      </c>
      <c r="C167">
        <v>2</v>
      </c>
      <c r="D167">
        <v>1464000000000</v>
      </c>
      <c r="E167">
        <v>1399615448</v>
      </c>
      <c r="F167">
        <v>140750388.27000001</v>
      </c>
      <c r="G167">
        <v>17765625</v>
      </c>
      <c r="H167">
        <v>9.5602148087431697E-4</v>
      </c>
      <c r="I167" s="1">
        <v>9.6140975594262302E-5</v>
      </c>
      <c r="J167">
        <v>82406.332453825802</v>
      </c>
      <c r="K167">
        <v>-0.67591044573324199</v>
      </c>
      <c r="M167">
        <v>1132</v>
      </c>
      <c r="N167" t="s">
        <v>228</v>
      </c>
      <c r="O167">
        <v>2</v>
      </c>
      <c r="P167">
        <v>2319681728000</v>
      </c>
      <c r="Q167">
        <v>1355323101</v>
      </c>
      <c r="R167">
        <v>210714913.61000001</v>
      </c>
      <c r="S167">
        <v>44951654</v>
      </c>
      <c r="T167">
        <v>5.8427114575262896E-4</v>
      </c>
      <c r="U167" s="1">
        <v>9.0837855498252207E-5</v>
      </c>
      <c r="V167">
        <v>51603.923806674597</v>
      </c>
      <c r="W167">
        <v>-1.4559813995064299</v>
      </c>
    </row>
    <row r="168" spans="1:23" x14ac:dyDescent="0.4">
      <c r="A168">
        <v>903</v>
      </c>
      <c r="B168" t="s">
        <v>176</v>
      </c>
      <c r="C168">
        <v>1</v>
      </c>
      <c r="D168">
        <v>21100000000000</v>
      </c>
      <c r="E168">
        <v>27530172000</v>
      </c>
      <c r="F168">
        <v>1580123117.9300001</v>
      </c>
      <c r="G168">
        <v>332793625</v>
      </c>
      <c r="H168">
        <v>1.3047474881516499E-3</v>
      </c>
      <c r="I168" s="1">
        <v>7.4887351560663505E-5</v>
      </c>
      <c r="J168">
        <v>63402.656826734499</v>
      </c>
      <c r="K168">
        <v>-0.67944827224286297</v>
      </c>
      <c r="M168">
        <v>776</v>
      </c>
      <c r="N168" t="s">
        <v>236</v>
      </c>
      <c r="O168">
        <v>1</v>
      </c>
      <c r="P168">
        <v>18248530686000</v>
      </c>
      <c r="Q168">
        <v>15218121000</v>
      </c>
      <c r="R168">
        <v>1413324110.0599999</v>
      </c>
      <c r="S168">
        <v>706091600</v>
      </c>
      <c r="T168">
        <v>8.3393678438314499E-4</v>
      </c>
      <c r="U168" s="1">
        <v>7.7448652408178799E-5</v>
      </c>
      <c r="V168">
        <v>25844.4239897486</v>
      </c>
      <c r="W168">
        <v>-1.53038293170381</v>
      </c>
    </row>
    <row r="169" spans="1:23" x14ac:dyDescent="0.4">
      <c r="A169">
        <v>530</v>
      </c>
      <c r="B169" t="s">
        <v>177</v>
      </c>
      <c r="C169">
        <v>2</v>
      </c>
      <c r="D169">
        <v>473884493040</v>
      </c>
      <c r="E169">
        <v>364132045</v>
      </c>
      <c r="F169">
        <v>36100000</v>
      </c>
      <c r="G169">
        <v>3246449</v>
      </c>
      <c r="H169">
        <v>7.6839831298143796E-4</v>
      </c>
      <c r="I169" s="1">
        <v>7.6178901251687105E-5</v>
      </c>
      <c r="J169">
        <v>145970.10242267701</v>
      </c>
      <c r="K169">
        <v>-0.68946910590594901</v>
      </c>
      <c r="M169">
        <v>1096</v>
      </c>
      <c r="N169" t="s">
        <v>218</v>
      </c>
      <c r="O169">
        <v>1</v>
      </c>
      <c r="P169">
        <v>5301036388000</v>
      </c>
      <c r="Q169">
        <v>697655693</v>
      </c>
      <c r="R169">
        <v>125016668.63</v>
      </c>
      <c r="S169">
        <v>20420260</v>
      </c>
      <c r="T169">
        <v>1.31607414463196E-4</v>
      </c>
      <c r="U169" s="1">
        <v>2.35834390635388E-5</v>
      </c>
      <c r="V169">
        <v>259596.90953983899</v>
      </c>
      <c r="W169">
        <v>-1.5305623305098801</v>
      </c>
    </row>
    <row r="170" spans="1:23" x14ac:dyDescent="0.4">
      <c r="A170">
        <v>1035</v>
      </c>
      <c r="B170" t="s">
        <v>178</v>
      </c>
      <c r="C170">
        <v>1</v>
      </c>
      <c r="D170">
        <v>24978612570000</v>
      </c>
      <c r="E170">
        <v>3696383967</v>
      </c>
      <c r="F170">
        <v>869552478.55999994</v>
      </c>
      <c r="G170">
        <v>78874358</v>
      </c>
      <c r="H170">
        <v>1.4798195682971799E-4</v>
      </c>
      <c r="I170" s="1">
        <v>3.4811880608787499E-5</v>
      </c>
      <c r="J170">
        <v>316688.632445033</v>
      </c>
      <c r="K170">
        <v>-0.70012773618959101</v>
      </c>
      <c r="M170">
        <v>9</v>
      </c>
      <c r="N170" t="s">
        <v>227</v>
      </c>
      <c r="O170">
        <v>1</v>
      </c>
      <c r="P170">
        <v>3137227261000</v>
      </c>
      <c r="Q170">
        <v>1433630369</v>
      </c>
      <c r="R170">
        <v>135887500</v>
      </c>
      <c r="S170">
        <v>20074690</v>
      </c>
      <c r="T170">
        <v>4.5697370631129402E-4</v>
      </c>
      <c r="U170" s="1">
        <v>4.3314522250034701E-5</v>
      </c>
      <c r="V170">
        <v>156277.74381571999</v>
      </c>
      <c r="W170">
        <v>-1.5784387178947901</v>
      </c>
    </row>
    <row r="171" spans="1:23" x14ac:dyDescent="0.4">
      <c r="A171">
        <v>914</v>
      </c>
      <c r="B171" t="s">
        <v>179</v>
      </c>
      <c r="C171">
        <v>1</v>
      </c>
      <c r="D171">
        <v>10054621170000</v>
      </c>
      <c r="E171">
        <v>11869029000</v>
      </c>
      <c r="F171">
        <v>884484982.82000005</v>
      </c>
      <c r="G171">
        <v>178907850</v>
      </c>
      <c r="H171">
        <v>1.18045511604292E-3</v>
      </c>
      <c r="I171" s="1">
        <v>8.7968006736945998E-5</v>
      </c>
      <c r="J171">
        <v>56200</v>
      </c>
      <c r="K171">
        <v>-0.718028921841528</v>
      </c>
      <c r="M171">
        <v>1026</v>
      </c>
      <c r="N171" t="s">
        <v>240</v>
      </c>
      <c r="O171">
        <v>1</v>
      </c>
      <c r="P171">
        <v>6787500000000</v>
      </c>
      <c r="Q171">
        <v>3250107537</v>
      </c>
      <c r="R171">
        <v>594099401.78999996</v>
      </c>
      <c r="S171">
        <v>112500000</v>
      </c>
      <c r="T171">
        <v>4.7883720618784498E-4</v>
      </c>
      <c r="U171" s="1">
        <v>8.7528456985635293E-5</v>
      </c>
      <c r="V171">
        <v>60333.333333333299</v>
      </c>
      <c r="W171">
        <v>-1.59771815444874</v>
      </c>
    </row>
    <row r="172" spans="1:23" x14ac:dyDescent="0.4">
      <c r="A172">
        <v>884</v>
      </c>
      <c r="B172" t="s">
        <v>180</v>
      </c>
      <c r="C172">
        <v>2</v>
      </c>
      <c r="D172">
        <v>572696535600</v>
      </c>
      <c r="E172">
        <v>302328579</v>
      </c>
      <c r="F172">
        <v>63756250</v>
      </c>
      <c r="G172">
        <v>4810212</v>
      </c>
      <c r="H172">
        <v>5.27903628198584E-4</v>
      </c>
      <c r="I172">
        <v>1.11326411173771E-4</v>
      </c>
      <c r="J172">
        <v>119058.481330968</v>
      </c>
      <c r="K172">
        <v>-0.72487004896565399</v>
      </c>
      <c r="M172">
        <v>731</v>
      </c>
      <c r="N172" t="s">
        <v>232</v>
      </c>
      <c r="O172">
        <v>2</v>
      </c>
      <c r="P172">
        <v>340991107530</v>
      </c>
      <c r="Q172">
        <v>276937265</v>
      </c>
      <c r="R172">
        <v>12271623.75</v>
      </c>
      <c r="S172">
        <v>3218988</v>
      </c>
      <c r="T172">
        <v>8.1215392098057905E-4</v>
      </c>
      <c r="U172" s="1">
        <v>3.5988104906578401E-5</v>
      </c>
      <c r="V172">
        <v>105931.15212917799</v>
      </c>
      <c r="W172">
        <v>-1.59830218092253</v>
      </c>
    </row>
    <row r="173" spans="1:23" x14ac:dyDescent="0.4">
      <c r="A173">
        <v>740</v>
      </c>
      <c r="B173" t="s">
        <v>181</v>
      </c>
      <c r="C173">
        <v>1</v>
      </c>
      <c r="D173">
        <v>2644656709000</v>
      </c>
      <c r="E173">
        <v>3473164583.4400001</v>
      </c>
      <c r="F173">
        <v>225804914.78</v>
      </c>
      <c r="G173">
        <v>70106125</v>
      </c>
      <c r="H173">
        <v>1.3132761509728301E-3</v>
      </c>
      <c r="I173" s="1">
        <v>8.5381559735736495E-5</v>
      </c>
      <c r="J173">
        <v>37723.618428489601</v>
      </c>
      <c r="K173">
        <v>-0.73396980418848301</v>
      </c>
      <c r="M173">
        <v>568</v>
      </c>
      <c r="N173" t="s">
        <v>241</v>
      </c>
      <c r="O173">
        <v>1</v>
      </c>
      <c r="P173">
        <v>9076470000000</v>
      </c>
      <c r="Q173">
        <v>5192604414</v>
      </c>
      <c r="R173">
        <v>708100907.44000006</v>
      </c>
      <c r="S173">
        <v>150231040</v>
      </c>
      <c r="T173">
        <v>5.7209514425762397E-4</v>
      </c>
      <c r="U173" s="1">
        <v>7.8015011060467298E-5</v>
      </c>
      <c r="V173">
        <v>60416.742106025398</v>
      </c>
      <c r="W173">
        <v>-1.62091275618375</v>
      </c>
    </row>
    <row r="174" spans="1:23" x14ac:dyDescent="0.4">
      <c r="A174">
        <v>1075</v>
      </c>
      <c r="B174" t="s">
        <v>182</v>
      </c>
      <c r="C174">
        <v>2</v>
      </c>
      <c r="D174">
        <v>1007364771000</v>
      </c>
      <c r="E174">
        <v>907331000</v>
      </c>
      <c r="F174">
        <v>108891209.44</v>
      </c>
      <c r="G174">
        <v>16109633</v>
      </c>
      <c r="H174">
        <v>9.0069756866651405E-4</v>
      </c>
      <c r="I174">
        <v>1.08095113681516E-4</v>
      </c>
      <c r="J174">
        <v>62531.826206096601</v>
      </c>
      <c r="K174">
        <v>-0.74760706185834302</v>
      </c>
      <c r="M174">
        <v>703</v>
      </c>
      <c r="N174" t="s">
        <v>238</v>
      </c>
      <c r="O174">
        <v>2</v>
      </c>
      <c r="P174">
        <v>986070523500</v>
      </c>
      <c r="Q174">
        <v>259007915</v>
      </c>
      <c r="R174">
        <v>78837500</v>
      </c>
      <c r="S174">
        <v>8870652</v>
      </c>
      <c r="T174">
        <v>2.6266672497284098E-4</v>
      </c>
      <c r="U174" s="1">
        <v>7.9951178055876596E-5</v>
      </c>
      <c r="V174">
        <v>111160.997353971</v>
      </c>
      <c r="W174">
        <v>-1.62188618485523</v>
      </c>
    </row>
    <row r="175" spans="1:23" x14ac:dyDescent="0.4">
      <c r="A175">
        <v>835</v>
      </c>
      <c r="B175" t="s">
        <v>183</v>
      </c>
      <c r="C175">
        <v>2</v>
      </c>
      <c r="D175">
        <v>808204000000</v>
      </c>
      <c r="E175">
        <v>586248172</v>
      </c>
      <c r="F175">
        <v>73900000</v>
      </c>
      <c r="G175">
        <v>6769750</v>
      </c>
      <c r="H175">
        <v>7.2537152996025704E-4</v>
      </c>
      <c r="I175" s="1">
        <v>9.1437310382032195E-5</v>
      </c>
      <c r="J175">
        <v>119384.615384615</v>
      </c>
      <c r="K175">
        <v>-0.75150776293856802</v>
      </c>
      <c r="M175">
        <v>527</v>
      </c>
      <c r="N175" t="s">
        <v>226</v>
      </c>
      <c r="O175">
        <v>1</v>
      </c>
      <c r="P175">
        <v>4141971328000</v>
      </c>
      <c r="Q175">
        <v>465702648</v>
      </c>
      <c r="R175">
        <v>140965625</v>
      </c>
      <c r="S175">
        <v>18079563</v>
      </c>
      <c r="T175">
        <v>1.12435024562294E-4</v>
      </c>
      <c r="U175" s="1">
        <v>3.4033462290543402E-5</v>
      </c>
      <c r="V175">
        <v>229096.87186576301</v>
      </c>
      <c r="W175">
        <v>-1.6383321932735899</v>
      </c>
    </row>
    <row r="176" spans="1:23" x14ac:dyDescent="0.4">
      <c r="A176">
        <v>943</v>
      </c>
      <c r="B176" t="s">
        <v>184</v>
      </c>
      <c r="C176">
        <v>3</v>
      </c>
      <c r="D176">
        <v>205774685000</v>
      </c>
      <c r="E176">
        <v>212560977</v>
      </c>
      <c r="F176">
        <v>18250000</v>
      </c>
      <c r="G176">
        <v>2900653</v>
      </c>
      <c r="H176">
        <v>1.03297923648868E-3</v>
      </c>
      <c r="I176" s="1">
        <v>8.8689237940031302E-5</v>
      </c>
      <c r="J176">
        <v>70940.814016705801</v>
      </c>
      <c r="K176">
        <v>-0.78816929865436003</v>
      </c>
      <c r="M176">
        <v>507</v>
      </c>
      <c r="N176" t="s">
        <v>229</v>
      </c>
      <c r="O176">
        <v>1</v>
      </c>
      <c r="P176">
        <v>2404097759150</v>
      </c>
      <c r="Q176">
        <v>648134480</v>
      </c>
      <c r="R176">
        <v>109135979.41</v>
      </c>
      <c r="S176">
        <v>13514592</v>
      </c>
      <c r="T176">
        <v>2.6959572568677702E-4</v>
      </c>
      <c r="U176" s="1">
        <v>4.5395815954084303E-5</v>
      </c>
      <c r="V176">
        <v>177889.03720881799</v>
      </c>
      <c r="W176">
        <v>-1.6408834751850301</v>
      </c>
    </row>
    <row r="177" spans="1:23" x14ac:dyDescent="0.4">
      <c r="A177">
        <v>468</v>
      </c>
      <c r="B177" t="s">
        <v>185</v>
      </c>
      <c r="C177">
        <v>3</v>
      </c>
      <c r="D177">
        <v>241010000000</v>
      </c>
      <c r="E177">
        <v>200213504</v>
      </c>
      <c r="F177">
        <v>24600000</v>
      </c>
      <c r="G177">
        <v>3080000</v>
      </c>
      <c r="H177">
        <v>8.3072695738765998E-4</v>
      </c>
      <c r="I177">
        <v>1.02070453508153E-4</v>
      </c>
      <c r="J177">
        <v>78250</v>
      </c>
      <c r="K177">
        <v>-0.803278391841591</v>
      </c>
      <c r="M177">
        <v>347</v>
      </c>
      <c r="N177" t="s">
        <v>243</v>
      </c>
      <c r="O177">
        <v>2</v>
      </c>
      <c r="P177">
        <v>586148839500</v>
      </c>
      <c r="Q177">
        <v>510512092</v>
      </c>
      <c r="R177">
        <v>31737500</v>
      </c>
      <c r="S177">
        <v>11052251</v>
      </c>
      <c r="T177">
        <v>8.7095982726073402E-4</v>
      </c>
      <c r="U177" s="1">
        <v>5.4145803695649898E-5</v>
      </c>
      <c r="V177">
        <v>53034.3401991141</v>
      </c>
      <c r="W177">
        <v>-1.6459582839118501</v>
      </c>
    </row>
    <row r="178" spans="1:23" x14ac:dyDescent="0.4">
      <c r="A178">
        <v>170</v>
      </c>
      <c r="B178" t="s">
        <v>186</v>
      </c>
      <c r="C178">
        <v>1</v>
      </c>
      <c r="D178">
        <v>4175100891500</v>
      </c>
      <c r="E178">
        <v>5728709146</v>
      </c>
      <c r="F178">
        <v>290856349.63</v>
      </c>
      <c r="G178">
        <v>88501032</v>
      </c>
      <c r="H178">
        <v>1.37211274526633E-3</v>
      </c>
      <c r="I178" s="1">
        <v>6.9664508041505799E-5</v>
      </c>
      <c r="J178">
        <v>47175.7311428865</v>
      </c>
      <c r="K178">
        <v>-0.81372720331600501</v>
      </c>
      <c r="M178">
        <v>219</v>
      </c>
      <c r="N178" t="s">
        <v>233</v>
      </c>
      <c r="O178">
        <v>2</v>
      </c>
      <c r="P178">
        <v>610490790000</v>
      </c>
      <c r="Q178">
        <v>460473837</v>
      </c>
      <c r="R178">
        <v>11450000</v>
      </c>
      <c r="S178">
        <v>4260462</v>
      </c>
      <c r="T178">
        <v>7.5426827815043595E-4</v>
      </c>
      <c r="U178" s="1">
        <v>1.8755401699016599E-5</v>
      </c>
      <c r="V178">
        <v>143292.15704775599</v>
      </c>
      <c r="W178">
        <v>-1.6654335885673699</v>
      </c>
    </row>
    <row r="179" spans="1:23" x14ac:dyDescent="0.4">
      <c r="A179">
        <v>623</v>
      </c>
      <c r="B179" t="s">
        <v>187</v>
      </c>
      <c r="C179">
        <v>2</v>
      </c>
      <c r="D179">
        <v>2213442163100</v>
      </c>
      <c r="E179">
        <v>1607455021</v>
      </c>
      <c r="F179">
        <v>202904612.38</v>
      </c>
      <c r="G179">
        <v>19900131</v>
      </c>
      <c r="H179">
        <v>7.2622409015137999E-4</v>
      </c>
      <c r="I179" s="1">
        <v>9.1669263269036704E-5</v>
      </c>
      <c r="J179">
        <v>111227.517200766</v>
      </c>
      <c r="K179">
        <v>-0.82159416236790805</v>
      </c>
      <c r="M179">
        <v>956</v>
      </c>
      <c r="N179" t="s">
        <v>231</v>
      </c>
      <c r="O179">
        <v>1</v>
      </c>
      <c r="P179">
        <v>15996722090000</v>
      </c>
      <c r="Q179">
        <v>2326078764</v>
      </c>
      <c r="R179">
        <v>714917233.14999998</v>
      </c>
      <c r="S179">
        <v>80628823</v>
      </c>
      <c r="T179">
        <v>1.4540971274696899E-4</v>
      </c>
      <c r="U179" s="1">
        <v>4.4691482988062498E-5</v>
      </c>
      <c r="V179">
        <v>198399.548632875</v>
      </c>
      <c r="W179">
        <v>-1.66563836092679</v>
      </c>
    </row>
    <row r="180" spans="1:23" x14ac:dyDescent="0.4">
      <c r="A180">
        <v>707</v>
      </c>
      <c r="B180" t="s">
        <v>188</v>
      </c>
      <c r="C180">
        <v>2</v>
      </c>
      <c r="D180">
        <v>1437012529200</v>
      </c>
      <c r="E180">
        <v>241988795</v>
      </c>
      <c r="F180">
        <v>100187500</v>
      </c>
      <c r="G180">
        <v>6019889</v>
      </c>
      <c r="H180">
        <v>1.6839713647779901E-4</v>
      </c>
      <c r="I180" s="1">
        <v>6.9719294692423704E-5</v>
      </c>
      <c r="J180">
        <v>238710.80167757199</v>
      </c>
      <c r="K180">
        <v>-0.82473327840021504</v>
      </c>
      <c r="M180">
        <v>452</v>
      </c>
      <c r="N180" t="s">
        <v>237</v>
      </c>
      <c r="O180">
        <v>1</v>
      </c>
      <c r="P180">
        <v>2580000000000</v>
      </c>
      <c r="Q180">
        <v>990953848</v>
      </c>
      <c r="R180">
        <v>125925547.88</v>
      </c>
      <c r="S180">
        <v>17559984</v>
      </c>
      <c r="T180">
        <v>3.8409063875968899E-4</v>
      </c>
      <c r="U180" s="1">
        <v>4.88083518914728E-5</v>
      </c>
      <c r="V180">
        <v>146924.963029579</v>
      </c>
      <c r="W180">
        <v>-1.6728565487562399</v>
      </c>
    </row>
    <row r="181" spans="1:23" x14ac:dyDescent="0.4">
      <c r="A181">
        <v>336</v>
      </c>
      <c r="B181" t="s">
        <v>189</v>
      </c>
      <c r="C181">
        <v>1</v>
      </c>
      <c r="D181">
        <v>2501664000000</v>
      </c>
      <c r="E181">
        <v>2435406304</v>
      </c>
      <c r="F181">
        <v>107782871.25</v>
      </c>
      <c r="G181">
        <v>16019178</v>
      </c>
      <c r="H181">
        <v>9.7351455031531001E-4</v>
      </c>
      <c r="I181" s="1">
        <v>4.3084471475785702E-5</v>
      </c>
      <c r="J181">
        <v>156166.81455190701</v>
      </c>
      <c r="K181">
        <v>-0.82697738144241695</v>
      </c>
      <c r="M181">
        <v>1119</v>
      </c>
      <c r="N181" t="s">
        <v>239</v>
      </c>
      <c r="O181">
        <v>2</v>
      </c>
      <c r="P181">
        <v>920381612000</v>
      </c>
      <c r="Q181">
        <v>581855572</v>
      </c>
      <c r="R181">
        <v>39315472.990000002</v>
      </c>
      <c r="S181">
        <v>8031327</v>
      </c>
      <c r="T181">
        <v>6.3218947924830902E-4</v>
      </c>
      <c r="U181" s="1">
        <v>4.2716491156931101E-5</v>
      </c>
      <c r="V181">
        <v>114598.94635095701</v>
      </c>
      <c r="W181">
        <v>-1.67939049052208</v>
      </c>
    </row>
    <row r="182" spans="1:23" x14ac:dyDescent="0.4">
      <c r="A182">
        <v>1052</v>
      </c>
      <c r="B182" t="s">
        <v>190</v>
      </c>
      <c r="C182">
        <v>3</v>
      </c>
      <c r="D182">
        <v>228092804550</v>
      </c>
      <c r="E182">
        <v>173181752</v>
      </c>
      <c r="F182">
        <v>22387500</v>
      </c>
      <c r="G182">
        <v>2448127</v>
      </c>
      <c r="H182">
        <v>7.5926004041059901E-4</v>
      </c>
      <c r="I182" s="1">
        <v>9.8150838401798196E-5</v>
      </c>
      <c r="J182">
        <v>93170.331665799997</v>
      </c>
      <c r="K182">
        <v>-0.83454514512470901</v>
      </c>
      <c r="M182">
        <v>1124</v>
      </c>
      <c r="N182" t="s">
        <v>234</v>
      </c>
      <c r="O182">
        <v>2</v>
      </c>
      <c r="P182">
        <v>950314050000</v>
      </c>
      <c r="Q182">
        <v>321412295</v>
      </c>
      <c r="R182">
        <v>39758333.329999998</v>
      </c>
      <c r="S182">
        <v>5642233</v>
      </c>
      <c r="T182">
        <v>3.3821692418416801E-4</v>
      </c>
      <c r="U182" s="1">
        <v>4.1837046742600499E-5</v>
      </c>
      <c r="V182">
        <v>168428.714305134</v>
      </c>
      <c r="W182">
        <v>-1.67948512230948</v>
      </c>
    </row>
    <row r="183" spans="1:23" x14ac:dyDescent="0.4">
      <c r="A183">
        <v>936</v>
      </c>
      <c r="B183" t="s">
        <v>191</v>
      </c>
      <c r="C183">
        <v>3</v>
      </c>
      <c r="D183">
        <v>253072500000</v>
      </c>
      <c r="E183">
        <v>167972183</v>
      </c>
      <c r="F183">
        <v>22208783.25</v>
      </c>
      <c r="G183">
        <v>2057500</v>
      </c>
      <c r="H183">
        <v>6.63731472206581E-4</v>
      </c>
      <c r="I183" s="1">
        <v>8.77566043327505E-5</v>
      </c>
      <c r="J183">
        <v>123000</v>
      </c>
      <c r="K183">
        <v>-0.86849114707561603</v>
      </c>
      <c r="M183">
        <v>950</v>
      </c>
      <c r="N183" t="s">
        <v>235</v>
      </c>
      <c r="O183">
        <v>1</v>
      </c>
      <c r="P183">
        <v>7437350664100</v>
      </c>
      <c r="Q183">
        <v>1276926970.25</v>
      </c>
      <c r="R183">
        <v>326438809.64999998</v>
      </c>
      <c r="S183">
        <v>38990043</v>
      </c>
      <c r="T183">
        <v>1.7169110721290901E-4</v>
      </c>
      <c r="U183" s="1">
        <v>4.3891813683831797E-5</v>
      </c>
      <c r="V183">
        <v>190749.99902154499</v>
      </c>
      <c r="W183">
        <v>-1.7049394619502301</v>
      </c>
    </row>
    <row r="184" spans="1:23" x14ac:dyDescent="0.4">
      <c r="A184">
        <v>390</v>
      </c>
      <c r="B184" t="s">
        <v>192</v>
      </c>
      <c r="C184">
        <v>1</v>
      </c>
      <c r="D184">
        <v>253146621356000</v>
      </c>
      <c r="E184">
        <v>175638353000</v>
      </c>
      <c r="F184">
        <v>25091958719.27</v>
      </c>
      <c r="G184">
        <v>2671895561</v>
      </c>
      <c r="H184">
        <v>6.9382064852052596E-4</v>
      </c>
      <c r="I184" s="1">
        <v>9.9120259179691705E-5</v>
      </c>
      <c r="J184">
        <v>94744.205219329597</v>
      </c>
      <c r="K184">
        <v>-0.90091478920771795</v>
      </c>
      <c r="M184">
        <v>1031</v>
      </c>
      <c r="N184" t="s">
        <v>246</v>
      </c>
      <c r="O184">
        <v>2</v>
      </c>
      <c r="P184">
        <v>841290559200</v>
      </c>
      <c r="Q184">
        <v>238169048</v>
      </c>
      <c r="R184">
        <v>72214472.079999998</v>
      </c>
      <c r="S184">
        <v>10362703</v>
      </c>
      <c r="T184">
        <v>2.8309963233924703E-4</v>
      </c>
      <c r="U184" s="1">
        <v>8.5837730247050598E-5</v>
      </c>
      <c r="V184">
        <v>81184.470808436701</v>
      </c>
      <c r="W184">
        <v>-1.7443953737864499</v>
      </c>
    </row>
    <row r="185" spans="1:23" x14ac:dyDescent="0.4">
      <c r="A185">
        <v>384</v>
      </c>
      <c r="B185" t="s">
        <v>193</v>
      </c>
      <c r="C185">
        <v>1</v>
      </c>
      <c r="D185">
        <v>4828560000000</v>
      </c>
      <c r="E185">
        <v>4288426206.1399999</v>
      </c>
      <c r="F185">
        <v>491961820.27999997</v>
      </c>
      <c r="G185">
        <v>98112427</v>
      </c>
      <c r="H185">
        <v>8.8813770692297404E-4</v>
      </c>
      <c r="I185">
        <v>1.0188582523153901E-4</v>
      </c>
      <c r="J185">
        <v>49214.560760993103</v>
      </c>
      <c r="K185">
        <v>-0.98886858470337702</v>
      </c>
      <c r="M185">
        <v>800</v>
      </c>
      <c r="N185" t="s">
        <v>247</v>
      </c>
      <c r="O185">
        <v>2</v>
      </c>
      <c r="P185">
        <v>835976867200</v>
      </c>
      <c r="Q185">
        <v>637284880</v>
      </c>
      <c r="R185">
        <v>49793269.75</v>
      </c>
      <c r="S185">
        <v>18047921</v>
      </c>
      <c r="T185">
        <v>7.6232358215186705E-4</v>
      </c>
      <c r="U185" s="1">
        <v>5.9562975608136497E-5</v>
      </c>
      <c r="V185">
        <v>46319.843000199297</v>
      </c>
      <c r="W185">
        <v>-1.7731122186219701</v>
      </c>
    </row>
    <row r="186" spans="1:23" x14ac:dyDescent="0.4">
      <c r="A186">
        <v>522</v>
      </c>
      <c r="B186" t="s">
        <v>194</v>
      </c>
      <c r="C186">
        <v>1</v>
      </c>
      <c r="D186">
        <v>3730574254800</v>
      </c>
      <c r="E186">
        <v>4189546066</v>
      </c>
      <c r="F186">
        <v>178647829.02000001</v>
      </c>
      <c r="G186">
        <v>36346848</v>
      </c>
      <c r="H186">
        <v>1.12302980180851E-3</v>
      </c>
      <c r="I186" s="1">
        <v>4.7887487774875399E-5</v>
      </c>
      <c r="J186">
        <v>102638.178001019</v>
      </c>
      <c r="K186">
        <v>-1.0217589056504099</v>
      </c>
      <c r="M186">
        <v>134</v>
      </c>
      <c r="N186" t="s">
        <v>244</v>
      </c>
      <c r="O186">
        <v>1</v>
      </c>
      <c r="P186">
        <v>4968863273000</v>
      </c>
      <c r="Q186">
        <v>1397520037</v>
      </c>
      <c r="R186">
        <v>227483513.46000001</v>
      </c>
      <c r="S186">
        <v>31507542</v>
      </c>
      <c r="T186">
        <v>2.8125548243476402E-4</v>
      </c>
      <c r="U186" s="1">
        <v>4.5781801784747903E-5</v>
      </c>
      <c r="V186">
        <v>157703.93237911101</v>
      </c>
      <c r="W186">
        <v>-1.78835697973226</v>
      </c>
    </row>
    <row r="187" spans="1:23" x14ac:dyDescent="0.4">
      <c r="A187">
        <v>895</v>
      </c>
      <c r="B187" t="s">
        <v>195</v>
      </c>
      <c r="C187">
        <v>2</v>
      </c>
      <c r="D187">
        <v>568344000000</v>
      </c>
      <c r="E187">
        <v>459157853</v>
      </c>
      <c r="F187">
        <v>33485821</v>
      </c>
      <c r="G187">
        <v>4284000</v>
      </c>
      <c r="H187">
        <v>8.0788721795250703E-4</v>
      </c>
      <c r="I187" s="1">
        <v>5.8918227341187699E-5</v>
      </c>
      <c r="J187">
        <v>132666.66666666599</v>
      </c>
      <c r="K187">
        <v>-1.0321166422928201</v>
      </c>
      <c r="M187">
        <v>1128</v>
      </c>
      <c r="N187" t="s">
        <v>242</v>
      </c>
      <c r="O187">
        <v>2</v>
      </c>
      <c r="P187">
        <v>1363425613500</v>
      </c>
      <c r="Q187">
        <v>106312907</v>
      </c>
      <c r="R187">
        <v>46226992.340000004</v>
      </c>
      <c r="S187">
        <v>6297229</v>
      </c>
      <c r="T187" s="1">
        <v>7.7974849487452396E-5</v>
      </c>
      <c r="U187" s="1">
        <v>3.39050344091251E-5</v>
      </c>
      <c r="V187">
        <v>216511.994958417</v>
      </c>
      <c r="W187">
        <v>-1.79951171350119</v>
      </c>
    </row>
    <row r="188" spans="1:23" x14ac:dyDescent="0.4">
      <c r="A188">
        <v>987</v>
      </c>
      <c r="B188" t="s">
        <v>196</v>
      </c>
      <c r="C188">
        <v>3</v>
      </c>
      <c r="D188">
        <v>186580346250</v>
      </c>
      <c r="E188">
        <v>153973459</v>
      </c>
      <c r="F188">
        <v>16727078.039999999</v>
      </c>
      <c r="G188">
        <v>2528282</v>
      </c>
      <c r="H188">
        <v>8.2523943220520204E-4</v>
      </c>
      <c r="I188" s="1">
        <v>8.9650803936162105E-5</v>
      </c>
      <c r="J188">
        <v>73797.284579014493</v>
      </c>
      <c r="K188">
        <v>-1.05268929380478</v>
      </c>
      <c r="M188">
        <v>1137</v>
      </c>
      <c r="N188" t="s">
        <v>248</v>
      </c>
      <c r="O188">
        <v>2</v>
      </c>
      <c r="P188">
        <v>1464000000000</v>
      </c>
      <c r="Q188">
        <v>623424303</v>
      </c>
      <c r="R188">
        <v>101663311.34</v>
      </c>
      <c r="S188">
        <v>18000000</v>
      </c>
      <c r="T188">
        <v>4.2583627254098302E-4</v>
      </c>
      <c r="U188" s="1">
        <v>6.9442152554644796E-5</v>
      </c>
      <c r="V188">
        <v>81333.333333333299</v>
      </c>
      <c r="W188">
        <v>-1.8114163081772201</v>
      </c>
    </row>
    <row r="189" spans="1:23" x14ac:dyDescent="0.4">
      <c r="A189">
        <v>1009</v>
      </c>
      <c r="B189" t="s">
        <v>197</v>
      </c>
      <c r="C189">
        <v>1</v>
      </c>
      <c r="D189">
        <v>1771201898100</v>
      </c>
      <c r="E189">
        <v>426406201</v>
      </c>
      <c r="F189">
        <v>81062389.340000004</v>
      </c>
      <c r="G189">
        <v>7406460</v>
      </c>
      <c r="H189">
        <v>2.40743983764591E-4</v>
      </c>
      <c r="I189" s="1">
        <v>4.5766882604945803E-5</v>
      </c>
      <c r="J189">
        <v>239142.84261307001</v>
      </c>
      <c r="K189">
        <v>-1.10043641396005</v>
      </c>
      <c r="M189">
        <v>986</v>
      </c>
      <c r="N189" t="s">
        <v>245</v>
      </c>
      <c r="O189">
        <v>2</v>
      </c>
      <c r="P189">
        <v>939671232500</v>
      </c>
      <c r="Q189">
        <v>477399260</v>
      </c>
      <c r="R189">
        <v>35700577.25</v>
      </c>
      <c r="S189">
        <v>7224609</v>
      </c>
      <c r="T189">
        <v>5.0804924476604099E-4</v>
      </c>
      <c r="U189" s="1">
        <v>3.7992625521820401E-5</v>
      </c>
      <c r="V189">
        <v>130065.34090633799</v>
      </c>
      <c r="W189">
        <v>-1.8164353204342201</v>
      </c>
    </row>
    <row r="190" spans="1:23" x14ac:dyDescent="0.4">
      <c r="A190">
        <v>478</v>
      </c>
      <c r="B190" t="s">
        <v>198</v>
      </c>
      <c r="C190">
        <v>2</v>
      </c>
      <c r="D190">
        <v>376219473000</v>
      </c>
      <c r="E190">
        <v>456315061</v>
      </c>
      <c r="F190">
        <v>27925000</v>
      </c>
      <c r="G190">
        <v>12493527</v>
      </c>
      <c r="H190">
        <v>1.2128959124877599E-3</v>
      </c>
      <c r="I190" s="1">
        <v>7.42252913633739E-5</v>
      </c>
      <c r="J190">
        <v>30113.1516344423</v>
      </c>
      <c r="K190">
        <v>-1.131993209732</v>
      </c>
      <c r="M190">
        <v>851</v>
      </c>
      <c r="N190" t="s">
        <v>249</v>
      </c>
      <c r="O190">
        <v>2</v>
      </c>
      <c r="P190">
        <v>261905718150</v>
      </c>
      <c r="Q190">
        <v>247499980</v>
      </c>
      <c r="R190">
        <v>10212500</v>
      </c>
      <c r="S190">
        <v>5898231</v>
      </c>
      <c r="T190">
        <v>9.44996473342558E-4</v>
      </c>
      <c r="U190" s="1">
        <v>3.8993039449986501E-5</v>
      </c>
      <c r="V190">
        <v>44404.113394337997</v>
      </c>
      <c r="W190">
        <v>-1.86966657155731</v>
      </c>
    </row>
    <row r="191" spans="1:23" x14ac:dyDescent="0.4">
      <c r="A191">
        <v>31</v>
      </c>
      <c r="B191" t="s">
        <v>199</v>
      </c>
      <c r="C191">
        <v>3</v>
      </c>
      <c r="D191">
        <v>266409883200</v>
      </c>
      <c r="E191">
        <v>286253146</v>
      </c>
      <c r="F191">
        <v>23875000</v>
      </c>
      <c r="G191">
        <v>10628830</v>
      </c>
      <c r="H191">
        <v>1.0744839589344401E-3</v>
      </c>
      <c r="I191" s="1">
        <v>8.9617546140645504E-5</v>
      </c>
      <c r="J191">
        <v>25064.836223742401</v>
      </c>
      <c r="K191">
        <v>-1.13427675147176</v>
      </c>
      <c r="M191">
        <v>1125</v>
      </c>
      <c r="N191" t="s">
        <v>253</v>
      </c>
      <c r="O191">
        <v>1</v>
      </c>
      <c r="P191">
        <v>1396978800000</v>
      </c>
      <c r="Q191">
        <v>530958477</v>
      </c>
      <c r="R191">
        <v>90756250</v>
      </c>
      <c r="S191">
        <v>17215498</v>
      </c>
      <c r="T191">
        <v>3.8007625956814798E-4</v>
      </c>
      <c r="U191" s="1">
        <v>6.4966089678669399E-5</v>
      </c>
      <c r="V191">
        <v>81146.580830830397</v>
      </c>
      <c r="W191">
        <v>-1.9592712524781399</v>
      </c>
    </row>
    <row r="192" spans="1:23" x14ac:dyDescent="0.4">
      <c r="A192">
        <v>125</v>
      </c>
      <c r="B192" t="s">
        <v>200</v>
      </c>
      <c r="C192">
        <v>2</v>
      </c>
      <c r="D192">
        <v>1040874546250</v>
      </c>
      <c r="E192">
        <v>826890933</v>
      </c>
      <c r="F192">
        <v>88342601</v>
      </c>
      <c r="G192">
        <v>13764630</v>
      </c>
      <c r="H192">
        <v>7.9441940047344996E-4</v>
      </c>
      <c r="I192" s="1">
        <v>8.4873437743554497E-5</v>
      </c>
      <c r="J192">
        <v>75619.507843654297</v>
      </c>
      <c r="K192">
        <v>-1.15842211716304</v>
      </c>
      <c r="M192">
        <v>983</v>
      </c>
      <c r="N192" t="s">
        <v>255</v>
      </c>
      <c r="O192">
        <v>2</v>
      </c>
      <c r="P192">
        <v>817571760000</v>
      </c>
      <c r="Q192">
        <v>472661542</v>
      </c>
      <c r="R192">
        <v>53213709.969999999</v>
      </c>
      <c r="S192">
        <v>19335155</v>
      </c>
      <c r="T192">
        <v>5.7812850825473704E-4</v>
      </c>
      <c r="U192" s="1">
        <v>6.5087509835222294E-5</v>
      </c>
      <c r="V192">
        <v>42284.210289495997</v>
      </c>
      <c r="W192">
        <v>-1.98943591810399</v>
      </c>
    </row>
    <row r="193" spans="1:23" x14ac:dyDescent="0.4">
      <c r="A193">
        <v>948</v>
      </c>
      <c r="B193" t="s">
        <v>201</v>
      </c>
      <c r="C193">
        <v>2</v>
      </c>
      <c r="D193">
        <v>2789969129500</v>
      </c>
      <c r="E193">
        <v>2501913098</v>
      </c>
      <c r="F193">
        <v>250946875</v>
      </c>
      <c r="G193">
        <v>56938146</v>
      </c>
      <c r="H193">
        <v>8.9675296817652399E-4</v>
      </c>
      <c r="I193" s="1">
        <v>8.9946111713778306E-5</v>
      </c>
      <c r="J193">
        <v>48999.999569708503</v>
      </c>
      <c r="K193">
        <v>-1.1707309915432</v>
      </c>
      <c r="M193">
        <v>852</v>
      </c>
      <c r="N193" t="s">
        <v>251</v>
      </c>
      <c r="O193">
        <v>1</v>
      </c>
      <c r="P193">
        <v>4781375052000</v>
      </c>
      <c r="Q193">
        <v>823749217</v>
      </c>
      <c r="R193">
        <v>198656573.28999999</v>
      </c>
      <c r="S193">
        <v>29728393</v>
      </c>
      <c r="T193">
        <v>1.7228291193250599E-4</v>
      </c>
      <c r="U193" s="1">
        <v>4.1548000549947203E-5</v>
      </c>
      <c r="V193">
        <v>160835.301524707</v>
      </c>
      <c r="W193">
        <v>-1.9990160478993899</v>
      </c>
    </row>
    <row r="194" spans="1:23" x14ac:dyDescent="0.4">
      <c r="A194">
        <v>298</v>
      </c>
      <c r="B194" t="s">
        <v>202</v>
      </c>
      <c r="C194">
        <v>1</v>
      </c>
      <c r="D194">
        <v>1909949588000</v>
      </c>
      <c r="E194">
        <v>1759087683</v>
      </c>
      <c r="F194">
        <v>130730247.15000001</v>
      </c>
      <c r="G194">
        <v>23130500</v>
      </c>
      <c r="H194">
        <v>9.2101262465362995E-4</v>
      </c>
      <c r="I194" s="1">
        <v>6.8446962145683602E-5</v>
      </c>
      <c r="J194">
        <v>82572.775685782806</v>
      </c>
      <c r="K194">
        <v>-1.1727133907045599</v>
      </c>
      <c r="M194">
        <v>1011</v>
      </c>
      <c r="N194" t="s">
        <v>254</v>
      </c>
      <c r="O194">
        <v>1</v>
      </c>
      <c r="P194">
        <v>1823800000000</v>
      </c>
      <c r="Q194">
        <v>593494933</v>
      </c>
      <c r="R194">
        <v>116031652.09</v>
      </c>
      <c r="S194">
        <v>20680000</v>
      </c>
      <c r="T194">
        <v>3.2541667562232699E-4</v>
      </c>
      <c r="U194" s="1">
        <v>6.3620820314727499E-5</v>
      </c>
      <c r="V194">
        <v>88191.489361702101</v>
      </c>
      <c r="W194">
        <v>-2.0049200318906402</v>
      </c>
    </row>
    <row r="195" spans="1:23" x14ac:dyDescent="0.4">
      <c r="A195">
        <v>901</v>
      </c>
      <c r="B195" t="s">
        <v>203</v>
      </c>
      <c r="C195">
        <v>1</v>
      </c>
      <c r="D195">
        <v>5130183491750</v>
      </c>
      <c r="E195">
        <v>4579168000</v>
      </c>
      <c r="F195">
        <v>456186761.50999999</v>
      </c>
      <c r="G195">
        <v>109152840</v>
      </c>
      <c r="H195">
        <v>8.9259341451702304E-4</v>
      </c>
      <c r="I195" s="1">
        <v>8.8922114042042994E-5</v>
      </c>
      <c r="J195">
        <v>47000.000107647204</v>
      </c>
      <c r="K195">
        <v>-1.2117915962563099</v>
      </c>
      <c r="M195">
        <v>1140</v>
      </c>
      <c r="N195" t="s">
        <v>252</v>
      </c>
      <c r="O195">
        <v>2</v>
      </c>
      <c r="P195">
        <v>553308000000</v>
      </c>
      <c r="Q195">
        <v>119415519</v>
      </c>
      <c r="R195">
        <v>21025000</v>
      </c>
      <c r="S195">
        <v>3528000</v>
      </c>
      <c r="T195">
        <v>2.1582105987984901E-4</v>
      </c>
      <c r="U195" s="1">
        <v>3.7998727652591303E-5</v>
      </c>
      <c r="V195">
        <v>156833.33333333299</v>
      </c>
      <c r="W195">
        <v>-2.0288039397962399</v>
      </c>
    </row>
    <row r="196" spans="1:23" x14ac:dyDescent="0.4">
      <c r="A196">
        <v>1135</v>
      </c>
      <c r="B196" t="s">
        <v>204</v>
      </c>
      <c r="C196">
        <v>2</v>
      </c>
      <c r="D196">
        <v>509421000000</v>
      </c>
      <c r="E196">
        <v>181483615</v>
      </c>
      <c r="F196">
        <v>49482700.549999997</v>
      </c>
      <c r="G196">
        <v>4308000</v>
      </c>
      <c r="H196">
        <v>3.5625467933202598E-4</v>
      </c>
      <c r="I196" s="1">
        <v>9.7135180037729094E-5</v>
      </c>
      <c r="J196">
        <v>118250</v>
      </c>
      <c r="K196">
        <v>-1.2143265473299401</v>
      </c>
      <c r="M196">
        <v>365</v>
      </c>
      <c r="N196" t="s">
        <v>256</v>
      </c>
      <c r="O196">
        <v>2</v>
      </c>
      <c r="P196">
        <v>448275000000</v>
      </c>
      <c r="Q196">
        <v>157418568</v>
      </c>
      <c r="R196">
        <v>32625000</v>
      </c>
      <c r="S196">
        <v>7471726</v>
      </c>
      <c r="T196">
        <v>3.5116517316379398E-4</v>
      </c>
      <c r="U196" s="1">
        <v>7.2778986113434805E-5</v>
      </c>
      <c r="V196">
        <v>59996.177590024003</v>
      </c>
      <c r="W196">
        <v>-2.0477423947412099</v>
      </c>
    </row>
    <row r="197" spans="1:23" x14ac:dyDescent="0.4">
      <c r="A197">
        <v>48</v>
      </c>
      <c r="B197" t="s">
        <v>205</v>
      </c>
      <c r="C197">
        <v>1</v>
      </c>
      <c r="D197">
        <v>29265695073000</v>
      </c>
      <c r="E197">
        <v>21697159000</v>
      </c>
      <c r="F197">
        <v>2398063114.04</v>
      </c>
      <c r="G197">
        <v>353000898</v>
      </c>
      <c r="H197">
        <v>7.4138539836073796E-4</v>
      </c>
      <c r="I197" s="1">
        <v>8.1941095472302895E-5</v>
      </c>
      <c r="J197">
        <v>82905.440860946401</v>
      </c>
      <c r="K197">
        <v>-1.2168571572484399</v>
      </c>
      <c r="M197">
        <v>512</v>
      </c>
      <c r="N197" t="s">
        <v>250</v>
      </c>
      <c r="O197">
        <v>1</v>
      </c>
      <c r="P197">
        <v>6645095226000</v>
      </c>
      <c r="Q197">
        <v>589340044</v>
      </c>
      <c r="R197">
        <v>33475000</v>
      </c>
      <c r="S197">
        <v>27619671</v>
      </c>
      <c r="T197" s="1">
        <v>8.8687975710884104E-5</v>
      </c>
      <c r="U197" s="1">
        <v>5.0375500819045697E-6</v>
      </c>
      <c r="V197">
        <v>240592.845077698</v>
      </c>
      <c r="W197">
        <v>-2.0773122700790898</v>
      </c>
    </row>
    <row r="198" spans="1:23" x14ac:dyDescent="0.4">
      <c r="A198">
        <v>1071</v>
      </c>
      <c r="B198" t="s">
        <v>206</v>
      </c>
      <c r="C198">
        <v>1</v>
      </c>
      <c r="D198">
        <v>1072000000000</v>
      </c>
      <c r="E198">
        <v>445224238</v>
      </c>
      <c r="F198">
        <v>102808156.59</v>
      </c>
      <c r="G198">
        <v>10000000</v>
      </c>
      <c r="H198">
        <v>4.1532111753731302E-4</v>
      </c>
      <c r="I198" s="1">
        <v>9.5903131147388E-5</v>
      </c>
      <c r="J198">
        <v>107200</v>
      </c>
      <c r="K198">
        <v>-1.24881693824228</v>
      </c>
      <c r="M198">
        <v>927</v>
      </c>
      <c r="N198" t="s">
        <v>257</v>
      </c>
      <c r="O198">
        <v>1</v>
      </c>
      <c r="P198">
        <v>6480026001000</v>
      </c>
      <c r="Q198">
        <v>1709092019</v>
      </c>
      <c r="R198">
        <v>341344082.16000003</v>
      </c>
      <c r="S198">
        <v>60064361</v>
      </c>
      <c r="T198">
        <v>2.6374771007651001E-4</v>
      </c>
      <c r="U198" s="1">
        <v>5.2676344525056401E-5</v>
      </c>
      <c r="V198">
        <v>107884.70722264001</v>
      </c>
      <c r="W198">
        <v>-2.1193918733452999</v>
      </c>
    </row>
    <row r="199" spans="1:23" x14ac:dyDescent="0.4">
      <c r="A199">
        <v>1105</v>
      </c>
      <c r="B199" t="s">
        <v>207</v>
      </c>
      <c r="C199">
        <v>3</v>
      </c>
      <c r="D199">
        <v>283860000000</v>
      </c>
      <c r="E199">
        <v>174572404</v>
      </c>
      <c r="F199">
        <v>18262500</v>
      </c>
      <c r="G199">
        <v>2175000</v>
      </c>
      <c r="H199">
        <v>6.1499472979637795E-4</v>
      </c>
      <c r="I199" s="1">
        <v>6.4336292538575302E-5</v>
      </c>
      <c r="J199">
        <v>130510.344827586</v>
      </c>
      <c r="K199">
        <v>-1.2490009092846499</v>
      </c>
      <c r="M199">
        <v>410</v>
      </c>
      <c r="N199" t="s">
        <v>258</v>
      </c>
      <c r="O199">
        <v>1</v>
      </c>
      <c r="P199">
        <v>2121106647000</v>
      </c>
      <c r="Q199">
        <v>982927563</v>
      </c>
      <c r="R199">
        <v>75339474.540000007</v>
      </c>
      <c r="S199">
        <v>20235562</v>
      </c>
      <c r="T199">
        <v>4.6340317889730299E-4</v>
      </c>
      <c r="U199" s="1">
        <v>3.55189469829613E-5</v>
      </c>
      <c r="V199">
        <v>104820.743155045</v>
      </c>
      <c r="W199">
        <v>-2.1411702067270499</v>
      </c>
    </row>
    <row r="200" spans="1:23" x14ac:dyDescent="0.4">
      <c r="A200">
        <v>957</v>
      </c>
      <c r="B200" t="s">
        <v>208</v>
      </c>
      <c r="C200">
        <v>1</v>
      </c>
      <c r="D200">
        <v>17259428154500</v>
      </c>
      <c r="E200">
        <v>13382959000</v>
      </c>
      <c r="F200">
        <v>1541620454.2</v>
      </c>
      <c r="G200">
        <v>296600873</v>
      </c>
      <c r="H200">
        <v>7.7539990781853895E-4</v>
      </c>
      <c r="I200" s="1">
        <v>8.9320482718198101E-5</v>
      </c>
      <c r="J200">
        <v>58190.753047783503</v>
      </c>
      <c r="K200">
        <v>-1.27516465983606</v>
      </c>
      <c r="M200">
        <v>123</v>
      </c>
      <c r="N200" t="s">
        <v>259</v>
      </c>
      <c r="O200">
        <v>2</v>
      </c>
      <c r="P200">
        <v>383254366500</v>
      </c>
      <c r="Q200">
        <v>297861803</v>
      </c>
      <c r="R200">
        <v>8425000</v>
      </c>
      <c r="S200">
        <v>5031594</v>
      </c>
      <c r="T200">
        <v>7.7719089209646298E-4</v>
      </c>
      <c r="U200" s="1">
        <v>2.19827893337256E-5</v>
      </c>
      <c r="V200">
        <v>76169.573002114194</v>
      </c>
      <c r="W200">
        <v>-2.1461232512804198</v>
      </c>
    </row>
    <row r="201" spans="1:23" x14ac:dyDescent="0.4">
      <c r="A201">
        <v>448</v>
      </c>
      <c r="B201" t="s">
        <v>209</v>
      </c>
      <c r="C201">
        <v>2</v>
      </c>
      <c r="D201">
        <v>366110400000</v>
      </c>
      <c r="E201">
        <v>218691263</v>
      </c>
      <c r="F201">
        <v>30279558.75</v>
      </c>
      <c r="G201">
        <v>3847759</v>
      </c>
      <c r="H201">
        <v>5.9733693170147505E-4</v>
      </c>
      <c r="I201" s="1">
        <v>8.2706087426087803E-5</v>
      </c>
      <c r="J201">
        <v>95148.994518627602</v>
      </c>
      <c r="K201">
        <v>-1.3042247041105599</v>
      </c>
      <c r="M201">
        <v>7</v>
      </c>
      <c r="N201" t="s">
        <v>261</v>
      </c>
      <c r="O201">
        <v>2</v>
      </c>
      <c r="P201">
        <v>1602985550050</v>
      </c>
      <c r="Q201">
        <v>1285072179</v>
      </c>
      <c r="R201">
        <v>69256749.359999999</v>
      </c>
      <c r="S201">
        <v>68649427</v>
      </c>
      <c r="T201">
        <v>8.0167421282114205E-4</v>
      </c>
      <c r="U201" s="1">
        <v>4.3204849449728197E-5</v>
      </c>
      <c r="V201">
        <v>23350.312159925201</v>
      </c>
      <c r="W201">
        <v>-2.1918719624873</v>
      </c>
    </row>
    <row r="202" spans="1:23" x14ac:dyDescent="0.4">
      <c r="A202">
        <v>567</v>
      </c>
      <c r="B202" t="s">
        <v>210</v>
      </c>
      <c r="C202">
        <v>2</v>
      </c>
      <c r="D202">
        <v>1260000000000</v>
      </c>
      <c r="E202">
        <v>1019077319</v>
      </c>
      <c r="F202">
        <v>116521428.56999999</v>
      </c>
      <c r="G202">
        <v>29325028</v>
      </c>
      <c r="H202">
        <v>8.0879152301587302E-4</v>
      </c>
      <c r="I202" s="1">
        <v>9.2477324261904697E-5</v>
      </c>
      <c r="J202">
        <v>42966.710892825002</v>
      </c>
      <c r="K202">
        <v>-1.3151414100125201</v>
      </c>
      <c r="M202">
        <v>888</v>
      </c>
      <c r="N202" t="s">
        <v>260</v>
      </c>
      <c r="O202">
        <v>1</v>
      </c>
      <c r="P202">
        <v>1840659600000</v>
      </c>
      <c r="Q202">
        <v>784557088</v>
      </c>
      <c r="R202">
        <v>105821711.94</v>
      </c>
      <c r="S202">
        <v>30383618</v>
      </c>
      <c r="T202">
        <v>4.2623692506751302E-4</v>
      </c>
      <c r="U202" s="1">
        <v>5.7491190625360598E-5</v>
      </c>
      <c r="V202">
        <v>60580.658959048204</v>
      </c>
      <c r="W202">
        <v>-2.1938392886387601</v>
      </c>
    </row>
    <row r="203" spans="1:23" x14ac:dyDescent="0.4">
      <c r="A203">
        <v>1090</v>
      </c>
      <c r="B203" t="s">
        <v>211</v>
      </c>
      <c r="C203">
        <v>2</v>
      </c>
      <c r="D203">
        <v>461871919000</v>
      </c>
      <c r="E203">
        <v>377369101</v>
      </c>
      <c r="F203">
        <v>46620995.75</v>
      </c>
      <c r="G203">
        <v>17598063</v>
      </c>
      <c r="H203">
        <v>8.1704274599989199E-4</v>
      </c>
      <c r="I203">
        <v>1.0093922975646399E-4</v>
      </c>
      <c r="J203">
        <v>26245.611178912099</v>
      </c>
      <c r="K203">
        <v>-1.3203970340771101</v>
      </c>
      <c r="M203">
        <v>440</v>
      </c>
      <c r="N203" t="s">
        <v>262</v>
      </c>
      <c r="O203">
        <v>1</v>
      </c>
      <c r="P203">
        <v>3788400000000</v>
      </c>
      <c r="Q203">
        <v>1795385648</v>
      </c>
      <c r="R203">
        <v>201097540.19</v>
      </c>
      <c r="S203">
        <v>65450000</v>
      </c>
      <c r="T203">
        <v>4.7391660014781898E-4</v>
      </c>
      <c r="U203" s="1">
        <v>5.3082446465526297E-5</v>
      </c>
      <c r="V203">
        <v>57882.352941176403</v>
      </c>
      <c r="W203">
        <v>-2.2211494627275199</v>
      </c>
    </row>
    <row r="204" spans="1:23" x14ac:dyDescent="0.4">
      <c r="A204">
        <v>1080</v>
      </c>
      <c r="B204" t="s">
        <v>212</v>
      </c>
      <c r="C204">
        <v>2</v>
      </c>
      <c r="D204">
        <v>426092874750</v>
      </c>
      <c r="E204">
        <v>333624506</v>
      </c>
      <c r="F204">
        <v>28754500.670000002</v>
      </c>
      <c r="G204">
        <v>4898520</v>
      </c>
      <c r="H204">
        <v>7.8298541414414903E-4</v>
      </c>
      <c r="I204" s="1">
        <v>6.7484115257433094E-5</v>
      </c>
      <c r="J204">
        <v>86984.002259866204</v>
      </c>
      <c r="K204">
        <v>-1.3511683498110401</v>
      </c>
      <c r="M204">
        <v>655</v>
      </c>
      <c r="N204" t="s">
        <v>263</v>
      </c>
      <c r="O204">
        <v>2</v>
      </c>
      <c r="P204">
        <v>643897590000</v>
      </c>
      <c r="Q204">
        <v>138279817</v>
      </c>
      <c r="R204">
        <v>33900000</v>
      </c>
      <c r="S204">
        <v>6527968</v>
      </c>
      <c r="T204">
        <v>2.14754363345264E-4</v>
      </c>
      <c r="U204" s="1">
        <v>5.2648123748995502E-5</v>
      </c>
      <c r="V204">
        <v>98636.7564914533</v>
      </c>
      <c r="W204">
        <v>-2.2723452745941599</v>
      </c>
    </row>
    <row r="205" spans="1:23" x14ac:dyDescent="0.4">
      <c r="A205">
        <v>960</v>
      </c>
      <c r="B205" t="s">
        <v>213</v>
      </c>
      <c r="C205">
        <v>2</v>
      </c>
      <c r="D205">
        <v>765151456000</v>
      </c>
      <c r="E205">
        <v>513466909</v>
      </c>
      <c r="F205">
        <v>76485501.409999996</v>
      </c>
      <c r="G205">
        <v>16647174</v>
      </c>
      <c r="H205">
        <v>6.71065715125555E-4</v>
      </c>
      <c r="I205" s="1">
        <v>9.9961257095222702E-5</v>
      </c>
      <c r="J205">
        <v>45962.843663435</v>
      </c>
      <c r="K205">
        <v>-1.3699286555442201</v>
      </c>
      <c r="M205">
        <v>910</v>
      </c>
      <c r="N205" t="s">
        <v>265</v>
      </c>
      <c r="O205">
        <v>1</v>
      </c>
      <c r="P205">
        <v>17161562125000</v>
      </c>
      <c r="Q205">
        <v>6370617458</v>
      </c>
      <c r="R205">
        <v>1134447406.77</v>
      </c>
      <c r="S205">
        <v>428284033</v>
      </c>
      <c r="T205">
        <v>3.7121431088838001E-4</v>
      </c>
      <c r="U205" s="1">
        <v>6.6103971101640006E-5</v>
      </c>
      <c r="V205">
        <v>40070.515832188401</v>
      </c>
      <c r="W205">
        <v>-2.302374606346</v>
      </c>
    </row>
    <row r="206" spans="1:23" x14ac:dyDescent="0.4">
      <c r="A206">
        <v>951</v>
      </c>
      <c r="B206" t="s">
        <v>214</v>
      </c>
      <c r="C206">
        <v>2</v>
      </c>
      <c r="D206">
        <v>870232462000</v>
      </c>
      <c r="E206">
        <v>540947414</v>
      </c>
      <c r="F206">
        <v>68312500</v>
      </c>
      <c r="G206">
        <v>9647810</v>
      </c>
      <c r="H206">
        <v>6.2161254333902298E-4</v>
      </c>
      <c r="I206" s="1">
        <v>7.8499140152737704E-5</v>
      </c>
      <c r="J206">
        <v>90200</v>
      </c>
      <c r="K206">
        <v>-1.38184311343835</v>
      </c>
      <c r="M206">
        <v>922</v>
      </c>
      <c r="N206" t="s">
        <v>266</v>
      </c>
      <c r="O206">
        <v>1</v>
      </c>
      <c r="P206">
        <v>8407861650000</v>
      </c>
      <c r="Q206">
        <v>3071861977</v>
      </c>
      <c r="R206">
        <v>541725813.75</v>
      </c>
      <c r="S206">
        <v>198684218</v>
      </c>
      <c r="T206">
        <v>3.6535591389042399E-4</v>
      </c>
      <c r="U206" s="1">
        <v>6.4430866765035307E-5</v>
      </c>
      <c r="V206">
        <v>42317.712673082002</v>
      </c>
      <c r="W206">
        <v>-2.3209915789020998</v>
      </c>
    </row>
    <row r="207" spans="1:23" x14ac:dyDescent="0.4">
      <c r="A207">
        <v>753</v>
      </c>
      <c r="B207" t="s">
        <v>215</v>
      </c>
      <c r="C207">
        <v>2</v>
      </c>
      <c r="D207">
        <v>288301085000</v>
      </c>
      <c r="E207">
        <v>214552666</v>
      </c>
      <c r="F207">
        <v>21500000</v>
      </c>
      <c r="G207">
        <v>3816768</v>
      </c>
      <c r="H207">
        <v>7.4419652635022103E-4</v>
      </c>
      <c r="I207" s="1">
        <v>7.4574814728844998E-5</v>
      </c>
      <c r="J207">
        <v>75535.396702131198</v>
      </c>
      <c r="K207">
        <v>-1.39937254597993</v>
      </c>
      <c r="M207">
        <v>664</v>
      </c>
      <c r="N207" t="s">
        <v>264</v>
      </c>
      <c r="O207">
        <v>1</v>
      </c>
      <c r="P207">
        <v>3856916567000</v>
      </c>
      <c r="Q207">
        <v>1029910617</v>
      </c>
      <c r="R207">
        <v>179276420.56</v>
      </c>
      <c r="S207">
        <v>40572287</v>
      </c>
      <c r="T207">
        <v>2.6702952970566503E-4</v>
      </c>
      <c r="U207" s="1">
        <v>4.6481798982612003E-5</v>
      </c>
      <c r="V207">
        <v>95062.833578989506</v>
      </c>
      <c r="W207">
        <v>-2.3305499196606099</v>
      </c>
    </row>
    <row r="208" spans="1:23" x14ac:dyDescent="0.4">
      <c r="A208">
        <v>57</v>
      </c>
      <c r="B208" t="s">
        <v>216</v>
      </c>
      <c r="C208">
        <v>1</v>
      </c>
      <c r="D208">
        <v>13825402941500</v>
      </c>
      <c r="E208">
        <v>11425577365.049999</v>
      </c>
      <c r="F208">
        <v>985971579.64999998</v>
      </c>
      <c r="G208">
        <v>207624727</v>
      </c>
      <c r="H208">
        <v>8.2641912235003299E-4</v>
      </c>
      <c r="I208" s="1">
        <v>7.1315938046940204E-5</v>
      </c>
      <c r="J208">
        <v>66588.422011507297</v>
      </c>
      <c r="K208">
        <v>-1.4130531630886001</v>
      </c>
      <c r="M208">
        <v>1081</v>
      </c>
      <c r="N208" t="s">
        <v>267</v>
      </c>
      <c r="O208">
        <v>2</v>
      </c>
      <c r="P208">
        <v>1524742265500</v>
      </c>
      <c r="Q208">
        <v>465073179</v>
      </c>
      <c r="R208">
        <v>113838229.20999999</v>
      </c>
      <c r="S208">
        <v>51402062</v>
      </c>
      <c r="T208">
        <v>3.0501756888564398E-4</v>
      </c>
      <c r="U208" s="1">
        <v>7.4660637266895497E-5</v>
      </c>
      <c r="V208">
        <v>29663.056425635201</v>
      </c>
      <c r="W208">
        <v>-2.3427718853819601</v>
      </c>
    </row>
    <row r="209" spans="1:23" x14ac:dyDescent="0.4">
      <c r="A209">
        <v>886</v>
      </c>
      <c r="B209" t="s">
        <v>217</v>
      </c>
      <c r="C209">
        <v>1</v>
      </c>
      <c r="D209">
        <v>5804530439100</v>
      </c>
      <c r="E209">
        <v>6650265791</v>
      </c>
      <c r="F209">
        <v>352339212.5</v>
      </c>
      <c r="G209">
        <v>173101043</v>
      </c>
      <c r="H209">
        <v>1.1457026301736699E-3</v>
      </c>
      <c r="I209" s="1">
        <v>6.0700726130506802E-5</v>
      </c>
      <c r="J209">
        <v>33532.613891298097</v>
      </c>
      <c r="K209">
        <v>-1.4177529003453799</v>
      </c>
      <c r="M209">
        <v>349</v>
      </c>
      <c r="N209" t="s">
        <v>268</v>
      </c>
      <c r="O209">
        <v>1</v>
      </c>
      <c r="P209">
        <v>1410843410000</v>
      </c>
      <c r="Q209">
        <v>744567910</v>
      </c>
      <c r="R209">
        <v>15325000</v>
      </c>
      <c r="S209">
        <v>13480257</v>
      </c>
      <c r="T209">
        <v>5.27746668923378E-4</v>
      </c>
      <c r="U209" s="1">
        <v>1.08622969008304E-5</v>
      </c>
      <c r="V209">
        <v>104659.97866361099</v>
      </c>
      <c r="W209">
        <v>-2.4716446482557699</v>
      </c>
    </row>
    <row r="210" spans="1:23" x14ac:dyDescent="0.4">
      <c r="A210">
        <v>1096</v>
      </c>
      <c r="B210" t="s">
        <v>218</v>
      </c>
      <c r="C210">
        <v>1</v>
      </c>
      <c r="D210">
        <v>5301036388000</v>
      </c>
      <c r="E210">
        <v>697655693</v>
      </c>
      <c r="F210">
        <v>125016668.63</v>
      </c>
      <c r="G210">
        <v>20420260</v>
      </c>
      <c r="H210">
        <v>1.31607414463196E-4</v>
      </c>
      <c r="I210" s="1">
        <v>2.35834390635388E-5</v>
      </c>
      <c r="J210">
        <v>259596.90953983899</v>
      </c>
      <c r="K210">
        <v>-1.43091274002625</v>
      </c>
      <c r="M210">
        <v>954</v>
      </c>
      <c r="N210" t="s">
        <v>269</v>
      </c>
      <c r="O210">
        <v>1</v>
      </c>
      <c r="P210">
        <v>2601000000000</v>
      </c>
      <c r="Q210">
        <v>748899609</v>
      </c>
      <c r="R210">
        <v>155897377.16</v>
      </c>
      <c r="S210">
        <v>76050000</v>
      </c>
      <c r="T210">
        <v>2.8792756978085298E-4</v>
      </c>
      <c r="U210" s="1">
        <v>5.9937476801230197E-5</v>
      </c>
      <c r="V210">
        <v>34201.183431952602</v>
      </c>
      <c r="W210">
        <v>-2.5843022784830301</v>
      </c>
    </row>
    <row r="211" spans="1:23" x14ac:dyDescent="0.4">
      <c r="A211">
        <v>911</v>
      </c>
      <c r="B211" t="s">
        <v>219</v>
      </c>
      <c r="C211">
        <v>2</v>
      </c>
      <c r="D211">
        <v>681150000000</v>
      </c>
      <c r="E211">
        <v>444572034</v>
      </c>
      <c r="F211">
        <v>45425000</v>
      </c>
      <c r="G211">
        <v>6884771</v>
      </c>
      <c r="H211">
        <v>6.5267860823607095E-4</v>
      </c>
      <c r="I211" s="1">
        <v>6.6688688247816197E-5</v>
      </c>
      <c r="J211">
        <v>98935.7525471798</v>
      </c>
      <c r="K211">
        <v>-1.44612908830938</v>
      </c>
      <c r="M211">
        <v>793</v>
      </c>
      <c r="N211" t="s">
        <v>270</v>
      </c>
      <c r="O211">
        <v>1</v>
      </c>
      <c r="P211">
        <v>6619120000000</v>
      </c>
      <c r="Q211">
        <v>1750448143</v>
      </c>
      <c r="R211">
        <v>358866673.66000003</v>
      </c>
      <c r="S211">
        <v>156937200</v>
      </c>
      <c r="T211">
        <v>2.6445330240273599E-4</v>
      </c>
      <c r="U211" s="1">
        <v>5.4216674370611203E-5</v>
      </c>
      <c r="V211">
        <v>42176.870748299298</v>
      </c>
      <c r="W211">
        <v>-2.6506615271984399</v>
      </c>
    </row>
    <row r="212" spans="1:23" x14ac:dyDescent="0.4">
      <c r="A212">
        <v>958</v>
      </c>
      <c r="B212" t="s">
        <v>220</v>
      </c>
      <c r="C212">
        <v>2</v>
      </c>
      <c r="D212">
        <v>1114113000000</v>
      </c>
      <c r="E212">
        <v>437992235</v>
      </c>
      <c r="F212">
        <v>70364901.719999999</v>
      </c>
      <c r="G212">
        <v>7608701</v>
      </c>
      <c r="H212">
        <v>3.9313088977509399E-4</v>
      </c>
      <c r="I212" s="1">
        <v>6.3157778178694597E-5</v>
      </c>
      <c r="J212">
        <v>146426.17708331501</v>
      </c>
      <c r="K212">
        <v>-1.44865799097653</v>
      </c>
      <c r="M212">
        <v>934</v>
      </c>
      <c r="N212" t="s">
        <v>271</v>
      </c>
      <c r="O212">
        <v>2</v>
      </c>
      <c r="P212">
        <v>809648094500</v>
      </c>
      <c r="Q212">
        <v>189232384</v>
      </c>
      <c r="R212">
        <v>39389565.960000001</v>
      </c>
      <c r="S212">
        <v>16578870</v>
      </c>
      <c r="T212">
        <v>2.3372176787109E-4</v>
      </c>
      <c r="U212" s="1">
        <v>4.8650229930232897E-5</v>
      </c>
      <c r="V212">
        <v>48836.144713119698</v>
      </c>
      <c r="W212">
        <v>-2.7364833285126999</v>
      </c>
    </row>
    <row r="213" spans="1:23" x14ac:dyDescent="0.4">
      <c r="A213">
        <v>905</v>
      </c>
      <c r="B213" t="s">
        <v>221</v>
      </c>
      <c r="C213">
        <v>3</v>
      </c>
      <c r="D213">
        <v>327570000000</v>
      </c>
      <c r="E213">
        <v>263476019</v>
      </c>
      <c r="F213">
        <v>26380437.75</v>
      </c>
      <c r="G213">
        <v>6587732</v>
      </c>
      <c r="H213">
        <v>8.0433500931098697E-4</v>
      </c>
      <c r="I213" s="1">
        <v>8.0533741643007596E-5</v>
      </c>
      <c r="J213">
        <v>49724.245005716599</v>
      </c>
      <c r="K213">
        <v>-1.45216405906864</v>
      </c>
      <c r="M213">
        <v>809</v>
      </c>
      <c r="N213" t="s">
        <v>272</v>
      </c>
      <c r="O213">
        <v>1</v>
      </c>
      <c r="P213">
        <v>7357705538400</v>
      </c>
      <c r="Q213">
        <v>1128646599</v>
      </c>
      <c r="R213">
        <v>349550836.91000003</v>
      </c>
      <c r="S213">
        <v>208032045</v>
      </c>
      <c r="T213">
        <v>1.53396543679218E-4</v>
      </c>
      <c r="U213" s="1">
        <v>4.7508130773335201E-5</v>
      </c>
      <c r="V213">
        <v>35368.135415868201</v>
      </c>
      <c r="W213">
        <v>-2.9917753920073098</v>
      </c>
    </row>
    <row r="214" spans="1:23" x14ac:dyDescent="0.4">
      <c r="A214">
        <v>1083</v>
      </c>
      <c r="B214" t="s">
        <v>222</v>
      </c>
      <c r="C214">
        <v>2</v>
      </c>
      <c r="D214">
        <v>682000000000</v>
      </c>
      <c r="E214">
        <v>641181248</v>
      </c>
      <c r="F214">
        <v>41057000</v>
      </c>
      <c r="G214">
        <v>10837320</v>
      </c>
      <c r="H214">
        <v>9.4014845747800505E-4</v>
      </c>
      <c r="I214" s="1">
        <v>6.0200879765395801E-5</v>
      </c>
      <c r="J214">
        <v>62930.687660786898</v>
      </c>
      <c r="K214">
        <v>-1.4583111093725101</v>
      </c>
    </row>
    <row r="215" spans="1:23" x14ac:dyDescent="0.4">
      <c r="A215">
        <v>907</v>
      </c>
      <c r="B215" t="s">
        <v>223</v>
      </c>
      <c r="C215">
        <v>3</v>
      </c>
      <c r="D215">
        <v>311180582400</v>
      </c>
      <c r="E215">
        <v>177558032</v>
      </c>
      <c r="F215">
        <v>23046666.670000002</v>
      </c>
      <c r="G215">
        <v>3389265</v>
      </c>
      <c r="H215">
        <v>5.7059483156234297E-4</v>
      </c>
      <c r="I215" s="1">
        <v>7.4062033344918606E-5</v>
      </c>
      <c r="J215">
        <v>91813.588609919796</v>
      </c>
      <c r="K215">
        <v>-1.5137904983103601</v>
      </c>
    </row>
    <row r="216" spans="1:23" x14ac:dyDescent="0.4">
      <c r="A216">
        <v>1007</v>
      </c>
      <c r="B216" t="s">
        <v>224</v>
      </c>
      <c r="C216">
        <v>3</v>
      </c>
      <c r="D216">
        <v>367551336300</v>
      </c>
      <c r="E216">
        <v>190481249</v>
      </c>
      <c r="F216">
        <v>28435800</v>
      </c>
      <c r="G216">
        <v>4125225</v>
      </c>
      <c r="H216">
        <v>5.1824392999765001E-4</v>
      </c>
      <c r="I216" s="1">
        <v>7.7365519293855396E-5</v>
      </c>
      <c r="J216">
        <v>89098.494336672506</v>
      </c>
      <c r="K216">
        <v>-1.5626906723342699</v>
      </c>
    </row>
    <row r="217" spans="1:23" x14ac:dyDescent="0.4">
      <c r="A217">
        <v>225</v>
      </c>
      <c r="B217" t="s">
        <v>225</v>
      </c>
      <c r="C217">
        <v>3</v>
      </c>
      <c r="D217">
        <v>332412275200</v>
      </c>
      <c r="E217">
        <v>152839354</v>
      </c>
      <c r="F217">
        <v>25708333.329999998</v>
      </c>
      <c r="G217">
        <v>3403351</v>
      </c>
      <c r="H217">
        <v>4.5978853791738602E-4</v>
      </c>
      <c r="I217" s="1">
        <v>7.7338700306816996E-5</v>
      </c>
      <c r="J217">
        <v>97672.051810113</v>
      </c>
      <c r="K217">
        <v>-1.570400495128</v>
      </c>
    </row>
    <row r="218" spans="1:23" x14ac:dyDescent="0.4">
      <c r="A218">
        <v>527</v>
      </c>
      <c r="B218" t="s">
        <v>226</v>
      </c>
      <c r="C218">
        <v>1</v>
      </c>
      <c r="D218">
        <v>4141971328000</v>
      </c>
      <c r="E218">
        <v>465702648</v>
      </c>
      <c r="F218">
        <v>140965625</v>
      </c>
      <c r="G218">
        <v>18079563</v>
      </c>
      <c r="H218">
        <v>1.12435024562294E-4</v>
      </c>
      <c r="I218" s="1">
        <v>3.4033462290543402E-5</v>
      </c>
      <c r="J218">
        <v>229096.87186576301</v>
      </c>
      <c r="K218">
        <v>-1.57137037783986</v>
      </c>
    </row>
    <row r="219" spans="1:23" x14ac:dyDescent="0.4">
      <c r="A219">
        <v>9</v>
      </c>
      <c r="B219" t="s">
        <v>227</v>
      </c>
      <c r="C219">
        <v>1</v>
      </c>
      <c r="D219">
        <v>3137227261000</v>
      </c>
      <c r="E219">
        <v>1433630369</v>
      </c>
      <c r="F219">
        <v>135887500</v>
      </c>
      <c r="G219">
        <v>20074690</v>
      </c>
      <c r="H219">
        <v>4.5697370631129402E-4</v>
      </c>
      <c r="I219" s="1">
        <v>4.3314522250034701E-5</v>
      </c>
      <c r="J219">
        <v>156277.74381571999</v>
      </c>
      <c r="K219">
        <v>-1.5839134011671301</v>
      </c>
    </row>
    <row r="220" spans="1:23" x14ac:dyDescent="0.4">
      <c r="A220">
        <v>1132</v>
      </c>
      <c r="B220" t="s">
        <v>228</v>
      </c>
      <c r="C220">
        <v>2</v>
      </c>
      <c r="D220">
        <v>2319681728000</v>
      </c>
      <c r="E220">
        <v>1355323101</v>
      </c>
      <c r="F220">
        <v>210714913.61000001</v>
      </c>
      <c r="G220">
        <v>44951654</v>
      </c>
      <c r="H220">
        <v>5.8427114575262896E-4</v>
      </c>
      <c r="I220" s="1">
        <v>9.0837855498252207E-5</v>
      </c>
      <c r="J220">
        <v>51603.923806674597</v>
      </c>
      <c r="K220">
        <v>-1.5931497638927099</v>
      </c>
    </row>
    <row r="221" spans="1:23" x14ac:dyDescent="0.4">
      <c r="A221">
        <v>507</v>
      </c>
      <c r="B221" t="s">
        <v>229</v>
      </c>
      <c r="C221">
        <v>1</v>
      </c>
      <c r="D221">
        <v>2404097759150</v>
      </c>
      <c r="E221">
        <v>648134480</v>
      </c>
      <c r="F221">
        <v>109135979.41</v>
      </c>
      <c r="G221">
        <v>13514592</v>
      </c>
      <c r="H221">
        <v>2.6959572568677702E-4</v>
      </c>
      <c r="I221" s="1">
        <v>4.5395815954084303E-5</v>
      </c>
      <c r="J221">
        <v>177889.03720881799</v>
      </c>
      <c r="K221">
        <v>-1.6277115572990399</v>
      </c>
    </row>
    <row r="222" spans="1:23" x14ac:dyDescent="0.4">
      <c r="A222">
        <v>941</v>
      </c>
      <c r="B222" t="s">
        <v>230</v>
      </c>
      <c r="C222">
        <v>3</v>
      </c>
      <c r="D222">
        <v>352244847850</v>
      </c>
      <c r="E222">
        <v>196031337</v>
      </c>
      <c r="F222">
        <v>36004253.359999999</v>
      </c>
      <c r="G222">
        <v>10963439</v>
      </c>
      <c r="H222">
        <v>5.5652009730310602E-4</v>
      </c>
      <c r="I222">
        <v>1.02213711796664E-4</v>
      </c>
      <c r="J222">
        <v>32129.0470854993</v>
      </c>
      <c r="K222">
        <v>-1.62983799277908</v>
      </c>
    </row>
    <row r="223" spans="1:23" x14ac:dyDescent="0.4">
      <c r="A223">
        <v>956</v>
      </c>
      <c r="B223" t="s">
        <v>231</v>
      </c>
      <c r="C223">
        <v>1</v>
      </c>
      <c r="D223">
        <v>15996722090000</v>
      </c>
      <c r="E223">
        <v>2326078764</v>
      </c>
      <c r="F223">
        <v>714917233.14999998</v>
      </c>
      <c r="G223">
        <v>80628823</v>
      </c>
      <c r="H223">
        <v>1.4540971274696899E-4</v>
      </c>
      <c r="I223" s="1">
        <v>4.4691482988062498E-5</v>
      </c>
      <c r="J223">
        <v>198399.548632875</v>
      </c>
      <c r="K223">
        <v>-1.63339520726663</v>
      </c>
    </row>
    <row r="224" spans="1:23" x14ac:dyDescent="0.4">
      <c r="A224">
        <v>731</v>
      </c>
      <c r="B224" t="s">
        <v>232</v>
      </c>
      <c r="C224">
        <v>2</v>
      </c>
      <c r="D224">
        <v>340991107530</v>
      </c>
      <c r="E224">
        <v>276937265</v>
      </c>
      <c r="F224">
        <v>12271623.75</v>
      </c>
      <c r="G224">
        <v>3218988</v>
      </c>
      <c r="H224">
        <v>8.1215392098057905E-4</v>
      </c>
      <c r="I224" s="1">
        <v>3.5988104906578401E-5</v>
      </c>
      <c r="J224">
        <v>105931.15212917799</v>
      </c>
      <c r="K224">
        <v>-1.6417916345853201</v>
      </c>
    </row>
    <row r="225" spans="1:11" x14ac:dyDescent="0.4">
      <c r="A225">
        <v>219</v>
      </c>
      <c r="B225" t="s">
        <v>233</v>
      </c>
      <c r="C225">
        <v>2</v>
      </c>
      <c r="D225">
        <v>610490790000</v>
      </c>
      <c r="E225">
        <v>460473837</v>
      </c>
      <c r="F225">
        <v>11450000</v>
      </c>
      <c r="G225">
        <v>4260462</v>
      </c>
      <c r="H225">
        <v>7.5426827815043595E-4</v>
      </c>
      <c r="I225" s="1">
        <v>1.8755401699016599E-5</v>
      </c>
      <c r="J225">
        <v>143292.15704775599</v>
      </c>
      <c r="K225">
        <v>-1.6612126207870499</v>
      </c>
    </row>
    <row r="226" spans="1:11" x14ac:dyDescent="0.4">
      <c r="A226">
        <v>1124</v>
      </c>
      <c r="B226" t="s">
        <v>234</v>
      </c>
      <c r="C226">
        <v>2</v>
      </c>
      <c r="D226">
        <v>950314050000</v>
      </c>
      <c r="E226">
        <v>321412295</v>
      </c>
      <c r="F226">
        <v>39758333.329999998</v>
      </c>
      <c r="G226">
        <v>5642233</v>
      </c>
      <c r="H226">
        <v>3.3821692418416801E-4</v>
      </c>
      <c r="I226" s="1">
        <v>4.1837046742600499E-5</v>
      </c>
      <c r="J226">
        <v>168428.714305134</v>
      </c>
      <c r="K226">
        <v>-1.6710108404168</v>
      </c>
    </row>
    <row r="227" spans="1:11" x14ac:dyDescent="0.4">
      <c r="A227">
        <v>950</v>
      </c>
      <c r="B227" t="s">
        <v>235</v>
      </c>
      <c r="C227">
        <v>1</v>
      </c>
      <c r="D227">
        <v>7437350664100</v>
      </c>
      <c r="E227">
        <v>1276926970.25</v>
      </c>
      <c r="F227">
        <v>326438809.64999998</v>
      </c>
      <c r="G227">
        <v>38990043</v>
      </c>
      <c r="H227">
        <v>1.7169110721290901E-4</v>
      </c>
      <c r="I227" s="1">
        <v>4.3891813683831797E-5</v>
      </c>
      <c r="J227">
        <v>190749.99902154499</v>
      </c>
      <c r="K227">
        <v>-1.67795384176523</v>
      </c>
    </row>
    <row r="228" spans="1:11" x14ac:dyDescent="0.4">
      <c r="A228">
        <v>776</v>
      </c>
      <c r="B228" t="s">
        <v>236</v>
      </c>
      <c r="C228">
        <v>1</v>
      </c>
      <c r="D228">
        <v>18248530686000</v>
      </c>
      <c r="E228">
        <v>15218121000</v>
      </c>
      <c r="F228">
        <v>1413324110.0599999</v>
      </c>
      <c r="G228">
        <v>706091600</v>
      </c>
      <c r="H228">
        <v>8.3393678438314499E-4</v>
      </c>
      <c r="I228" s="1">
        <v>7.7448652408178799E-5</v>
      </c>
      <c r="J228">
        <v>25844.4239897486</v>
      </c>
      <c r="K228">
        <v>-1.6780886129897501</v>
      </c>
    </row>
    <row r="229" spans="1:11" x14ac:dyDescent="0.4">
      <c r="A229">
        <v>452</v>
      </c>
      <c r="B229" t="s">
        <v>237</v>
      </c>
      <c r="C229">
        <v>1</v>
      </c>
      <c r="D229">
        <v>2580000000000</v>
      </c>
      <c r="E229">
        <v>990953848</v>
      </c>
      <c r="F229">
        <v>125925547.88</v>
      </c>
      <c r="G229">
        <v>17559984</v>
      </c>
      <c r="H229">
        <v>3.8409063875968899E-4</v>
      </c>
      <c r="I229" s="1">
        <v>4.88083518914728E-5</v>
      </c>
      <c r="J229">
        <v>146924.963029579</v>
      </c>
      <c r="K229">
        <v>-1.6888575284051399</v>
      </c>
    </row>
    <row r="230" spans="1:11" x14ac:dyDescent="0.4">
      <c r="A230">
        <v>703</v>
      </c>
      <c r="B230" t="s">
        <v>238</v>
      </c>
      <c r="C230">
        <v>2</v>
      </c>
      <c r="D230">
        <v>986070523500</v>
      </c>
      <c r="E230">
        <v>259007915</v>
      </c>
      <c r="F230">
        <v>78837500</v>
      </c>
      <c r="G230">
        <v>8870652</v>
      </c>
      <c r="H230">
        <v>2.6266672497284098E-4</v>
      </c>
      <c r="I230" s="1">
        <v>7.9951178055876596E-5</v>
      </c>
      <c r="J230">
        <v>111160.997353971</v>
      </c>
      <c r="K230">
        <v>-1.69476345600311</v>
      </c>
    </row>
    <row r="231" spans="1:11" x14ac:dyDescent="0.4">
      <c r="A231">
        <v>1119</v>
      </c>
      <c r="B231" t="s">
        <v>239</v>
      </c>
      <c r="C231">
        <v>2</v>
      </c>
      <c r="D231">
        <v>920381612000</v>
      </c>
      <c r="E231">
        <v>581855572</v>
      </c>
      <c r="F231">
        <v>39315472.990000002</v>
      </c>
      <c r="G231">
        <v>8031327</v>
      </c>
      <c r="H231">
        <v>6.3218947924830902E-4</v>
      </c>
      <c r="I231" s="1">
        <v>4.2716491156931101E-5</v>
      </c>
      <c r="J231">
        <v>114598.94635095701</v>
      </c>
      <c r="K231">
        <v>-1.71884236083033</v>
      </c>
    </row>
    <row r="232" spans="1:11" x14ac:dyDescent="0.4">
      <c r="A232">
        <v>1026</v>
      </c>
      <c r="B232" t="s">
        <v>240</v>
      </c>
      <c r="C232">
        <v>1</v>
      </c>
      <c r="D232">
        <v>6787500000000</v>
      </c>
      <c r="E232">
        <v>3250107537</v>
      </c>
      <c r="F232">
        <v>594099401.78999996</v>
      </c>
      <c r="G232">
        <v>112500000</v>
      </c>
      <c r="H232">
        <v>4.7883720618784498E-4</v>
      </c>
      <c r="I232" s="1">
        <v>8.7528456985635293E-5</v>
      </c>
      <c r="J232">
        <v>60333.333333333299</v>
      </c>
      <c r="K232">
        <v>-1.72164641134929</v>
      </c>
    </row>
    <row r="233" spans="1:11" x14ac:dyDescent="0.4">
      <c r="A233">
        <v>568</v>
      </c>
      <c r="B233" t="s">
        <v>241</v>
      </c>
      <c r="C233">
        <v>1</v>
      </c>
      <c r="D233">
        <v>9076470000000</v>
      </c>
      <c r="E233">
        <v>5192604414</v>
      </c>
      <c r="F233">
        <v>708100907.44000006</v>
      </c>
      <c r="G233">
        <v>150231040</v>
      </c>
      <c r="H233">
        <v>5.7209514425762397E-4</v>
      </c>
      <c r="I233" s="1">
        <v>7.8015011060467298E-5</v>
      </c>
      <c r="J233">
        <v>60416.742106025398</v>
      </c>
      <c r="K233">
        <v>-1.736819352882</v>
      </c>
    </row>
    <row r="234" spans="1:11" x14ac:dyDescent="0.4">
      <c r="A234">
        <v>1128</v>
      </c>
      <c r="B234" t="s">
        <v>242</v>
      </c>
      <c r="C234">
        <v>2</v>
      </c>
      <c r="D234">
        <v>1363425613500</v>
      </c>
      <c r="E234">
        <v>106312907</v>
      </c>
      <c r="F234">
        <v>46226992.340000004</v>
      </c>
      <c r="G234">
        <v>6297229</v>
      </c>
      <c r="H234" s="1">
        <v>7.7974849487452396E-5</v>
      </c>
      <c r="I234" s="1">
        <v>3.39050344091251E-5</v>
      </c>
      <c r="J234">
        <v>216511.994958417</v>
      </c>
      <c r="K234">
        <v>-1.7400975156579599</v>
      </c>
    </row>
    <row r="235" spans="1:11" x14ac:dyDescent="0.4">
      <c r="A235">
        <v>347</v>
      </c>
      <c r="B235" t="s">
        <v>243</v>
      </c>
      <c r="C235">
        <v>2</v>
      </c>
      <c r="D235">
        <v>586148839500</v>
      </c>
      <c r="E235">
        <v>510512092</v>
      </c>
      <c r="F235">
        <v>31737500</v>
      </c>
      <c r="G235">
        <v>11052251</v>
      </c>
      <c r="H235">
        <v>8.7095982726073402E-4</v>
      </c>
      <c r="I235" s="1">
        <v>5.4145803695649898E-5</v>
      </c>
      <c r="J235">
        <v>53034.3401991141</v>
      </c>
      <c r="K235">
        <v>-1.7490982768327801</v>
      </c>
    </row>
    <row r="236" spans="1:11" x14ac:dyDescent="0.4">
      <c r="A236">
        <v>134</v>
      </c>
      <c r="B236" t="s">
        <v>244</v>
      </c>
      <c r="C236">
        <v>1</v>
      </c>
      <c r="D236">
        <v>4968863273000</v>
      </c>
      <c r="E236">
        <v>1397520037</v>
      </c>
      <c r="F236">
        <v>227483513.46000001</v>
      </c>
      <c r="G236">
        <v>31507542</v>
      </c>
      <c r="H236">
        <v>2.8125548243476402E-4</v>
      </c>
      <c r="I236" s="1">
        <v>4.5781801784747903E-5</v>
      </c>
      <c r="J236">
        <v>157703.93237911101</v>
      </c>
      <c r="K236">
        <v>-1.7900937711492699</v>
      </c>
    </row>
    <row r="237" spans="1:11" x14ac:dyDescent="0.4">
      <c r="A237">
        <v>986</v>
      </c>
      <c r="B237" t="s">
        <v>245</v>
      </c>
      <c r="C237">
        <v>2</v>
      </c>
      <c r="D237">
        <v>939671232500</v>
      </c>
      <c r="E237">
        <v>477399260</v>
      </c>
      <c r="F237">
        <v>35700577.25</v>
      </c>
      <c r="G237">
        <v>7224609</v>
      </c>
      <c r="H237">
        <v>5.0804924476604099E-4</v>
      </c>
      <c r="I237" s="1">
        <v>3.7992625521820401E-5</v>
      </c>
      <c r="J237">
        <v>130065.34090633799</v>
      </c>
      <c r="K237">
        <v>-1.83572517855633</v>
      </c>
    </row>
    <row r="238" spans="1:11" x14ac:dyDescent="0.4">
      <c r="A238">
        <v>1031</v>
      </c>
      <c r="B238" t="s">
        <v>246</v>
      </c>
      <c r="C238">
        <v>2</v>
      </c>
      <c r="D238">
        <v>841290559200</v>
      </c>
      <c r="E238">
        <v>238169048</v>
      </c>
      <c r="F238">
        <v>72214472.079999998</v>
      </c>
      <c r="G238">
        <v>10362703</v>
      </c>
      <c r="H238">
        <v>2.8309963233924703E-4</v>
      </c>
      <c r="I238" s="1">
        <v>8.5837730247050598E-5</v>
      </c>
      <c r="J238">
        <v>81184.470808436701</v>
      </c>
      <c r="K238">
        <v>-1.8456121772780301</v>
      </c>
    </row>
    <row r="239" spans="1:11" x14ac:dyDescent="0.4">
      <c r="A239">
        <v>800</v>
      </c>
      <c r="B239" t="s">
        <v>247</v>
      </c>
      <c r="C239">
        <v>2</v>
      </c>
      <c r="D239">
        <v>835976867200</v>
      </c>
      <c r="E239">
        <v>637284880</v>
      </c>
      <c r="F239">
        <v>49793269.75</v>
      </c>
      <c r="G239">
        <v>18047921</v>
      </c>
      <c r="H239">
        <v>7.6232358215186705E-4</v>
      </c>
      <c r="I239" s="1">
        <v>5.9562975608136497E-5</v>
      </c>
      <c r="J239">
        <v>46319.843000199297</v>
      </c>
      <c r="K239">
        <v>-1.88371389028347</v>
      </c>
    </row>
    <row r="240" spans="1:11" x14ac:dyDescent="0.4">
      <c r="A240">
        <v>1137</v>
      </c>
      <c r="B240" t="s">
        <v>248</v>
      </c>
      <c r="C240">
        <v>2</v>
      </c>
      <c r="D240">
        <v>1464000000000</v>
      </c>
      <c r="E240">
        <v>623424303</v>
      </c>
      <c r="F240">
        <v>101663311.34</v>
      </c>
      <c r="G240">
        <v>18000000</v>
      </c>
      <c r="H240">
        <v>4.2583627254098302E-4</v>
      </c>
      <c r="I240" s="1">
        <v>6.9442152554644796E-5</v>
      </c>
      <c r="J240">
        <v>81333.333333333299</v>
      </c>
      <c r="K240">
        <v>-1.8982343580769501</v>
      </c>
    </row>
    <row r="241" spans="1:11" x14ac:dyDescent="0.4">
      <c r="A241">
        <v>851</v>
      </c>
      <c r="B241" t="s">
        <v>249</v>
      </c>
      <c r="C241">
        <v>2</v>
      </c>
      <c r="D241">
        <v>261905718150</v>
      </c>
      <c r="E241">
        <v>247499980</v>
      </c>
      <c r="F241">
        <v>10212500</v>
      </c>
      <c r="G241">
        <v>5898231</v>
      </c>
      <c r="H241">
        <v>9.44996473342558E-4</v>
      </c>
      <c r="I241" s="1">
        <v>3.8993039449986501E-5</v>
      </c>
      <c r="J241">
        <v>44404.113394337997</v>
      </c>
      <c r="K241">
        <v>-1.9637857949501401</v>
      </c>
    </row>
    <row r="242" spans="1:11" x14ac:dyDescent="0.4">
      <c r="A242">
        <v>512</v>
      </c>
      <c r="B242" t="s">
        <v>250</v>
      </c>
      <c r="C242">
        <v>1</v>
      </c>
      <c r="D242">
        <v>6645095226000</v>
      </c>
      <c r="E242">
        <v>589340044</v>
      </c>
      <c r="F242">
        <v>33475000</v>
      </c>
      <c r="G242">
        <v>27619671</v>
      </c>
      <c r="H242" s="1">
        <v>8.8687975710884104E-5</v>
      </c>
      <c r="I242" s="1">
        <v>5.0375500819045697E-6</v>
      </c>
      <c r="J242">
        <v>240592.845077698</v>
      </c>
      <c r="K242">
        <v>-1.9682803453564599</v>
      </c>
    </row>
    <row r="243" spans="1:11" x14ac:dyDescent="0.4">
      <c r="A243">
        <v>852</v>
      </c>
      <c r="B243" t="s">
        <v>251</v>
      </c>
      <c r="C243">
        <v>1</v>
      </c>
      <c r="D243">
        <v>4781375052000</v>
      </c>
      <c r="E243">
        <v>823749217</v>
      </c>
      <c r="F243">
        <v>198656573.28999999</v>
      </c>
      <c r="G243">
        <v>29728393</v>
      </c>
      <c r="H243">
        <v>1.7228291193250599E-4</v>
      </c>
      <c r="I243" s="1">
        <v>4.1548000549947203E-5</v>
      </c>
      <c r="J243">
        <v>160835.301524707</v>
      </c>
      <c r="K243">
        <v>-1.9902484356266601</v>
      </c>
    </row>
    <row r="244" spans="1:11" x14ac:dyDescent="0.4">
      <c r="A244">
        <v>1140</v>
      </c>
      <c r="B244" t="s">
        <v>252</v>
      </c>
      <c r="C244">
        <v>2</v>
      </c>
      <c r="D244">
        <v>553308000000</v>
      </c>
      <c r="E244">
        <v>119415519</v>
      </c>
      <c r="F244">
        <v>21025000</v>
      </c>
      <c r="G244">
        <v>3528000</v>
      </c>
      <c r="H244">
        <v>2.1582105987984901E-4</v>
      </c>
      <c r="I244" s="1">
        <v>3.7998727652591303E-5</v>
      </c>
      <c r="J244">
        <v>156833.33333333299</v>
      </c>
      <c r="K244">
        <v>-2.0201374423976102</v>
      </c>
    </row>
    <row r="245" spans="1:11" x14ac:dyDescent="0.4">
      <c r="A245">
        <v>1125</v>
      </c>
      <c r="B245" t="s">
        <v>253</v>
      </c>
      <c r="C245">
        <v>1</v>
      </c>
      <c r="D245">
        <v>1396978800000</v>
      </c>
      <c r="E245">
        <v>530958477</v>
      </c>
      <c r="F245">
        <v>90756250</v>
      </c>
      <c r="G245">
        <v>17215498</v>
      </c>
      <c r="H245">
        <v>3.8007625956814798E-4</v>
      </c>
      <c r="I245" s="1">
        <v>6.4966089678669399E-5</v>
      </c>
      <c r="J245">
        <v>81146.580830830397</v>
      </c>
      <c r="K245">
        <v>-2.0396292523675701</v>
      </c>
    </row>
    <row r="246" spans="1:11" x14ac:dyDescent="0.4">
      <c r="A246">
        <v>1011</v>
      </c>
      <c r="B246" t="s">
        <v>254</v>
      </c>
      <c r="C246">
        <v>1</v>
      </c>
      <c r="D246">
        <v>1823800000000</v>
      </c>
      <c r="E246">
        <v>593494933</v>
      </c>
      <c r="F246">
        <v>116031652.09</v>
      </c>
      <c r="G246">
        <v>20680000</v>
      </c>
      <c r="H246">
        <v>3.2541667562232699E-4</v>
      </c>
      <c r="I246" s="1">
        <v>6.3620820314727499E-5</v>
      </c>
      <c r="J246">
        <v>88191.489361702101</v>
      </c>
      <c r="K246">
        <v>-2.0770799501234598</v>
      </c>
    </row>
    <row r="247" spans="1:11" x14ac:dyDescent="0.4">
      <c r="A247">
        <v>983</v>
      </c>
      <c r="B247" t="s">
        <v>255</v>
      </c>
      <c r="C247">
        <v>2</v>
      </c>
      <c r="D247">
        <v>817571760000</v>
      </c>
      <c r="E247">
        <v>472661542</v>
      </c>
      <c r="F247">
        <v>53213709.969999999</v>
      </c>
      <c r="G247">
        <v>19335155</v>
      </c>
      <c r="H247">
        <v>5.7812850825473704E-4</v>
      </c>
      <c r="I247" s="1">
        <v>6.5087509835222294E-5</v>
      </c>
      <c r="J247">
        <v>42284.210289495997</v>
      </c>
      <c r="K247">
        <v>-2.10335477380641</v>
      </c>
    </row>
    <row r="248" spans="1:11" x14ac:dyDescent="0.4">
      <c r="A248">
        <v>365</v>
      </c>
      <c r="B248" t="s">
        <v>256</v>
      </c>
      <c r="C248">
        <v>2</v>
      </c>
      <c r="D248">
        <v>448275000000</v>
      </c>
      <c r="E248">
        <v>157418568</v>
      </c>
      <c r="F248">
        <v>32625000</v>
      </c>
      <c r="G248">
        <v>7471726</v>
      </c>
      <c r="H248">
        <v>3.5116517316379398E-4</v>
      </c>
      <c r="I248" s="1">
        <v>7.2778986113434805E-5</v>
      </c>
      <c r="J248">
        <v>59996.177590024003</v>
      </c>
      <c r="K248">
        <v>-2.1509226081217601</v>
      </c>
    </row>
    <row r="249" spans="1:11" x14ac:dyDescent="0.4">
      <c r="A249">
        <v>927</v>
      </c>
      <c r="B249" t="s">
        <v>257</v>
      </c>
      <c r="C249">
        <v>1</v>
      </c>
      <c r="D249">
        <v>6480026001000</v>
      </c>
      <c r="E249">
        <v>1709092019</v>
      </c>
      <c r="F249">
        <v>341344082.16000003</v>
      </c>
      <c r="G249">
        <v>60064361</v>
      </c>
      <c r="H249">
        <v>2.6374771007651001E-4</v>
      </c>
      <c r="I249" s="1">
        <v>5.2676344525056401E-5</v>
      </c>
      <c r="J249">
        <v>107884.70722264001</v>
      </c>
      <c r="K249">
        <v>-2.1632783565142399</v>
      </c>
    </row>
    <row r="250" spans="1:11" x14ac:dyDescent="0.4">
      <c r="A250">
        <v>410</v>
      </c>
      <c r="B250" t="s">
        <v>258</v>
      </c>
      <c r="C250">
        <v>1</v>
      </c>
      <c r="D250">
        <v>2121106647000</v>
      </c>
      <c r="E250">
        <v>982927563</v>
      </c>
      <c r="F250">
        <v>75339474.540000007</v>
      </c>
      <c r="G250">
        <v>20235562</v>
      </c>
      <c r="H250">
        <v>4.6340317889730299E-4</v>
      </c>
      <c r="I250" s="1">
        <v>3.55189469829613E-5</v>
      </c>
      <c r="J250">
        <v>104820.743155045</v>
      </c>
      <c r="K250">
        <v>-2.17383261565515</v>
      </c>
    </row>
    <row r="251" spans="1:11" x14ac:dyDescent="0.4">
      <c r="A251">
        <v>123</v>
      </c>
      <c r="B251" t="s">
        <v>259</v>
      </c>
      <c r="C251">
        <v>2</v>
      </c>
      <c r="D251">
        <v>383254366500</v>
      </c>
      <c r="E251">
        <v>297861803</v>
      </c>
      <c r="F251">
        <v>8425000</v>
      </c>
      <c r="G251">
        <v>5031594</v>
      </c>
      <c r="H251">
        <v>7.7719089209646298E-4</v>
      </c>
      <c r="I251" s="1">
        <v>2.19827893337256E-5</v>
      </c>
      <c r="J251">
        <v>76169.573002114194</v>
      </c>
      <c r="K251">
        <v>-2.1932078023441401</v>
      </c>
    </row>
    <row r="252" spans="1:11" x14ac:dyDescent="0.4">
      <c r="A252">
        <v>888</v>
      </c>
      <c r="B252" t="s">
        <v>260</v>
      </c>
      <c r="C252">
        <v>1</v>
      </c>
      <c r="D252">
        <v>1840659600000</v>
      </c>
      <c r="E252">
        <v>784557088</v>
      </c>
      <c r="F252">
        <v>105821711.94</v>
      </c>
      <c r="G252">
        <v>30383618</v>
      </c>
      <c r="H252">
        <v>4.2623692506751302E-4</v>
      </c>
      <c r="I252" s="1">
        <v>5.7491190625360598E-5</v>
      </c>
      <c r="J252">
        <v>60580.658959048204</v>
      </c>
      <c r="K252">
        <v>-2.2814417242454099</v>
      </c>
    </row>
    <row r="253" spans="1:11" x14ac:dyDescent="0.4">
      <c r="A253">
        <v>7</v>
      </c>
      <c r="B253" t="s">
        <v>261</v>
      </c>
      <c r="C253">
        <v>2</v>
      </c>
      <c r="D253">
        <v>1602985550050</v>
      </c>
      <c r="E253">
        <v>1285072179</v>
      </c>
      <c r="F253">
        <v>69256749.359999999</v>
      </c>
      <c r="G253">
        <v>68649427</v>
      </c>
      <c r="H253">
        <v>8.0167421282114205E-4</v>
      </c>
      <c r="I253" s="1">
        <v>4.3204849449728197E-5</v>
      </c>
      <c r="J253">
        <v>23350.312159925201</v>
      </c>
      <c r="K253">
        <v>-2.3009820921975899</v>
      </c>
    </row>
    <row r="254" spans="1:11" x14ac:dyDescent="0.4">
      <c r="A254">
        <v>440</v>
      </c>
      <c r="B254" t="s">
        <v>262</v>
      </c>
      <c r="C254">
        <v>1</v>
      </c>
      <c r="D254">
        <v>3788400000000</v>
      </c>
      <c r="E254">
        <v>1795385648</v>
      </c>
      <c r="F254">
        <v>201097540.19</v>
      </c>
      <c r="G254">
        <v>65450000</v>
      </c>
      <c r="H254">
        <v>4.7391660014781898E-4</v>
      </c>
      <c r="I254" s="1">
        <v>5.3082446465526297E-5</v>
      </c>
      <c r="J254">
        <v>57882.352941176403</v>
      </c>
      <c r="K254">
        <v>-2.3070873059898398</v>
      </c>
    </row>
    <row r="255" spans="1:11" x14ac:dyDescent="0.4">
      <c r="A255">
        <v>655</v>
      </c>
      <c r="B255" t="s">
        <v>263</v>
      </c>
      <c r="C255">
        <v>2</v>
      </c>
      <c r="D255">
        <v>643897590000</v>
      </c>
      <c r="E255">
        <v>138279817</v>
      </c>
      <c r="F255">
        <v>33900000</v>
      </c>
      <c r="G255">
        <v>6527968</v>
      </c>
      <c r="H255">
        <v>2.14754363345264E-4</v>
      </c>
      <c r="I255" s="1">
        <v>5.2648123748995502E-5</v>
      </c>
      <c r="J255">
        <v>98636.7564914533</v>
      </c>
      <c r="K255">
        <v>-2.32110311970006</v>
      </c>
    </row>
    <row r="256" spans="1:11" x14ac:dyDescent="0.4">
      <c r="A256">
        <v>664</v>
      </c>
      <c r="B256" t="s">
        <v>264</v>
      </c>
      <c r="C256">
        <v>1</v>
      </c>
      <c r="D256">
        <v>3856916567000</v>
      </c>
      <c r="E256">
        <v>1029910617</v>
      </c>
      <c r="F256">
        <v>179276420.56</v>
      </c>
      <c r="G256">
        <v>40572287</v>
      </c>
      <c r="H256">
        <v>2.6702952970566503E-4</v>
      </c>
      <c r="I256" s="1">
        <v>4.6481798982612003E-5</v>
      </c>
      <c r="J256">
        <v>95062.833578989506</v>
      </c>
      <c r="K256">
        <v>-2.3763826248447</v>
      </c>
    </row>
    <row r="257" spans="1:11" x14ac:dyDescent="0.4">
      <c r="A257">
        <v>910</v>
      </c>
      <c r="B257" t="s">
        <v>265</v>
      </c>
      <c r="C257">
        <v>1</v>
      </c>
      <c r="D257">
        <v>17161562125000</v>
      </c>
      <c r="E257">
        <v>6370617458</v>
      </c>
      <c r="F257">
        <v>1134447406.77</v>
      </c>
      <c r="G257">
        <v>428284033</v>
      </c>
      <c r="H257">
        <v>3.7121431088838001E-4</v>
      </c>
      <c r="I257" s="1">
        <v>6.6103971101640006E-5</v>
      </c>
      <c r="J257">
        <v>40070.515832188401</v>
      </c>
      <c r="K257">
        <v>-2.41244209051625</v>
      </c>
    </row>
    <row r="258" spans="1:11" x14ac:dyDescent="0.4">
      <c r="A258">
        <v>922</v>
      </c>
      <c r="B258" t="s">
        <v>266</v>
      </c>
      <c r="C258">
        <v>1</v>
      </c>
      <c r="D258">
        <v>8407861650000</v>
      </c>
      <c r="E258">
        <v>3071861977</v>
      </c>
      <c r="F258">
        <v>541725813.75</v>
      </c>
      <c r="G258">
        <v>198684218</v>
      </c>
      <c r="H258">
        <v>3.6535591389042399E-4</v>
      </c>
      <c r="I258" s="1">
        <v>6.4430866765035307E-5</v>
      </c>
      <c r="J258">
        <v>42317.712673082002</v>
      </c>
      <c r="K258">
        <v>-2.4273831312909002</v>
      </c>
    </row>
    <row r="259" spans="1:11" x14ac:dyDescent="0.4">
      <c r="A259">
        <v>1081</v>
      </c>
      <c r="B259" t="s">
        <v>267</v>
      </c>
      <c r="C259">
        <v>2</v>
      </c>
      <c r="D259">
        <v>1524742265500</v>
      </c>
      <c r="E259">
        <v>465073179</v>
      </c>
      <c r="F259">
        <v>113838229.20999999</v>
      </c>
      <c r="G259">
        <v>51402062</v>
      </c>
      <c r="H259">
        <v>3.0501756888564398E-4</v>
      </c>
      <c r="I259" s="1">
        <v>7.4660637266895497E-5</v>
      </c>
      <c r="J259">
        <v>29663.056425635201</v>
      </c>
      <c r="K259">
        <v>-2.4678305904139899</v>
      </c>
    </row>
    <row r="260" spans="1:11" x14ac:dyDescent="0.4">
      <c r="A260">
        <v>349</v>
      </c>
      <c r="B260" t="s">
        <v>268</v>
      </c>
      <c r="C260">
        <v>1</v>
      </c>
      <c r="D260">
        <v>1410843410000</v>
      </c>
      <c r="E260">
        <v>744567910</v>
      </c>
      <c r="F260">
        <v>15325000</v>
      </c>
      <c r="G260">
        <v>13480257</v>
      </c>
      <c r="H260">
        <v>5.27746668923378E-4</v>
      </c>
      <c r="I260" s="1">
        <v>1.08622969008304E-5</v>
      </c>
      <c r="J260">
        <v>104659.97866361099</v>
      </c>
      <c r="K260">
        <v>-2.4781534028435201</v>
      </c>
    </row>
    <row r="261" spans="1:11" x14ac:dyDescent="0.4">
      <c r="A261">
        <v>954</v>
      </c>
      <c r="B261" t="s">
        <v>269</v>
      </c>
      <c r="C261">
        <v>1</v>
      </c>
      <c r="D261">
        <v>2601000000000</v>
      </c>
      <c r="E261">
        <v>748899609</v>
      </c>
      <c r="F261">
        <v>155897377.16</v>
      </c>
      <c r="G261">
        <v>76050000</v>
      </c>
      <c r="H261">
        <v>2.8792756978085298E-4</v>
      </c>
      <c r="I261" s="1">
        <v>5.9937476801230197E-5</v>
      </c>
      <c r="J261">
        <v>34201.183431952602</v>
      </c>
      <c r="K261">
        <v>-2.6887467636682998</v>
      </c>
    </row>
    <row r="262" spans="1:11" x14ac:dyDescent="0.4">
      <c r="A262">
        <v>793</v>
      </c>
      <c r="B262" t="s">
        <v>270</v>
      </c>
      <c r="C262">
        <v>1</v>
      </c>
      <c r="D262">
        <v>6619120000000</v>
      </c>
      <c r="E262">
        <v>1750448143</v>
      </c>
      <c r="F262">
        <v>358866673.66000003</v>
      </c>
      <c r="G262">
        <v>156937200</v>
      </c>
      <c r="H262">
        <v>2.6445330240273599E-4</v>
      </c>
      <c r="I262" s="1">
        <v>5.4216674370611203E-5</v>
      </c>
      <c r="J262">
        <v>42176.870748299298</v>
      </c>
      <c r="K262">
        <v>-2.74222393008198</v>
      </c>
    </row>
    <row r="263" spans="1:11" x14ac:dyDescent="0.4">
      <c r="A263">
        <v>934</v>
      </c>
      <c r="B263" t="s">
        <v>271</v>
      </c>
      <c r="C263">
        <v>2</v>
      </c>
      <c r="D263">
        <v>809648094500</v>
      </c>
      <c r="E263">
        <v>189232384</v>
      </c>
      <c r="F263">
        <v>39389565.960000001</v>
      </c>
      <c r="G263">
        <v>16578870</v>
      </c>
      <c r="H263">
        <v>2.3372176787109E-4</v>
      </c>
      <c r="I263" s="1">
        <v>4.8650229930232897E-5</v>
      </c>
      <c r="J263">
        <v>48836.144713119698</v>
      </c>
      <c r="K263">
        <v>-2.8160299081321498</v>
      </c>
    </row>
    <row r="264" spans="1:11" x14ac:dyDescent="0.4">
      <c r="A264">
        <v>809</v>
      </c>
      <c r="B264" t="s">
        <v>272</v>
      </c>
      <c r="C264">
        <v>1</v>
      </c>
      <c r="D264">
        <v>7357705538400</v>
      </c>
      <c r="E264">
        <v>1128646599</v>
      </c>
      <c r="F264">
        <v>349550836.91000003</v>
      </c>
      <c r="G264">
        <v>208032045</v>
      </c>
      <c r="H264">
        <v>1.53396543679218E-4</v>
      </c>
      <c r="I264" s="1">
        <v>4.7508130773335201E-5</v>
      </c>
      <c r="J264">
        <v>35368.135415868201</v>
      </c>
      <c r="K264">
        <v>-3.0768675163322698</v>
      </c>
    </row>
  </sheetData>
  <autoFilter ref="Y1:AI95">
    <sortState ref="Y2:AI95">
      <sortCondition descending="1" ref="AI1:AI95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265"/>
  <sheetViews>
    <sheetView topLeftCell="AX13" workbookViewId="0">
      <selection activeCell="BD1" sqref="BD1"/>
    </sheetView>
  </sheetViews>
  <sheetFormatPr defaultRowHeight="17.399999999999999" x14ac:dyDescent="0.4"/>
  <sheetData>
    <row r="1" spans="1:66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336</v>
      </c>
      <c r="L1" t="s">
        <v>9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336</v>
      </c>
      <c r="Y1" t="s">
        <v>9</v>
      </c>
      <c r="AA1">
        <v>28</v>
      </c>
      <c r="AB1" t="s">
        <v>0</v>
      </c>
      <c r="AC1" t="s">
        <v>1</v>
      </c>
      <c r="AD1" t="s">
        <v>2</v>
      </c>
      <c r="AE1" t="s">
        <v>3</v>
      </c>
      <c r="AF1" t="s">
        <v>4</v>
      </c>
      <c r="AG1" t="s">
        <v>5</v>
      </c>
      <c r="AH1" t="s">
        <v>6</v>
      </c>
      <c r="AI1" t="s">
        <v>7</v>
      </c>
      <c r="AJ1" t="s">
        <v>8</v>
      </c>
      <c r="AK1" t="s">
        <v>336</v>
      </c>
      <c r="AL1" t="s">
        <v>9</v>
      </c>
      <c r="AQ1" t="s">
        <v>0</v>
      </c>
      <c r="AR1" t="s">
        <v>1</v>
      </c>
      <c r="AS1" t="s">
        <v>2</v>
      </c>
      <c r="AT1" t="s">
        <v>3</v>
      </c>
      <c r="AU1" t="s">
        <v>4</v>
      </c>
      <c r="AV1" t="s">
        <v>5</v>
      </c>
      <c r="AW1" t="s">
        <v>6</v>
      </c>
      <c r="AX1" t="s">
        <v>7</v>
      </c>
      <c r="AY1" t="s">
        <v>8</v>
      </c>
      <c r="AZ1" t="s">
        <v>336</v>
      </c>
      <c r="BA1" t="s">
        <v>9</v>
      </c>
      <c r="BD1" t="s">
        <v>0</v>
      </c>
      <c r="BE1" t="s">
        <v>1</v>
      </c>
      <c r="BF1" t="s">
        <v>2</v>
      </c>
      <c r="BG1" t="s">
        <v>3</v>
      </c>
      <c r="BH1" t="s">
        <v>4</v>
      </c>
      <c r="BI1" t="s">
        <v>5</v>
      </c>
      <c r="BJ1" t="s">
        <v>6</v>
      </c>
      <c r="BK1" t="s">
        <v>7</v>
      </c>
      <c r="BL1" t="s">
        <v>8</v>
      </c>
      <c r="BM1" t="s">
        <v>336</v>
      </c>
      <c r="BN1" t="s">
        <v>9</v>
      </c>
    </row>
    <row r="2" spans="1:66" x14ac:dyDescent="0.4">
      <c r="A2">
        <v>574</v>
      </c>
      <c r="B2" t="s">
        <v>143</v>
      </c>
      <c r="C2">
        <v>3</v>
      </c>
      <c r="D2">
        <v>46724067360</v>
      </c>
      <c r="E2">
        <v>43267167</v>
      </c>
      <c r="F2">
        <v>5300000</v>
      </c>
      <c r="G2">
        <v>413865</v>
      </c>
      <c r="H2">
        <v>9.2601456689621504E-4</v>
      </c>
      <c r="I2">
        <v>1.1343190564221401E-4</v>
      </c>
      <c r="J2">
        <v>112896.88028704999</v>
      </c>
      <c r="K2" s="1">
        <v>4.0640049825979399E-5</v>
      </c>
      <c r="L2">
        <v>470.591565373322</v>
      </c>
      <c r="N2">
        <v>344</v>
      </c>
      <c r="O2" t="s">
        <v>173</v>
      </c>
      <c r="P2">
        <v>2</v>
      </c>
      <c r="Q2">
        <v>353401630400</v>
      </c>
      <c r="R2">
        <v>293233807</v>
      </c>
      <c r="S2">
        <v>35391666.670000002</v>
      </c>
      <c r="T2">
        <v>3640814</v>
      </c>
      <c r="U2">
        <v>8.2974661624537799E-4</v>
      </c>
      <c r="V2" s="1">
        <v>1.00145736820573E-4</v>
      </c>
      <c r="W2">
        <v>97066.653336314295</v>
      </c>
      <c r="X2">
        <v>3.1037851864172098E-4</v>
      </c>
      <c r="Y2">
        <v>170.284620855116</v>
      </c>
      <c r="AA2">
        <v>1079</v>
      </c>
      <c r="AB2" t="s">
        <v>123</v>
      </c>
      <c r="AC2">
        <v>1</v>
      </c>
      <c r="AD2">
        <v>1641739889400</v>
      </c>
      <c r="AE2">
        <v>1198802546</v>
      </c>
      <c r="AF2">
        <v>174638866.38999999</v>
      </c>
      <c r="AG2">
        <v>8862236</v>
      </c>
      <c r="AH2">
        <v>7.3020248441311899E-4</v>
      </c>
      <c r="AI2">
        <v>1.06374260330498E-4</v>
      </c>
      <c r="AJ2">
        <v>185251.20403022401</v>
      </c>
      <c r="AK2">
        <v>1.6054177352765201E-3</v>
      </c>
      <c r="AL2">
        <v>74.873343391336903</v>
      </c>
      <c r="AN2" t="s">
        <v>273</v>
      </c>
      <c r="AP2">
        <v>1079</v>
      </c>
      <c r="AQ2" t="s">
        <v>123</v>
      </c>
      <c r="AR2">
        <v>1</v>
      </c>
      <c r="AS2">
        <v>794109841.20000005</v>
      </c>
      <c r="AT2">
        <v>1198802546</v>
      </c>
      <c r="AU2">
        <v>174638866.38999999</v>
      </c>
      <c r="AV2">
        <v>8862236</v>
      </c>
      <c r="AW2">
        <v>1.5096180450156</v>
      </c>
      <c r="AX2">
        <v>0.21991777123187201</v>
      </c>
      <c r="AY2">
        <v>89.606036354707697</v>
      </c>
      <c r="AZ2">
        <v>1.20821615499556E-3</v>
      </c>
      <c r="BA2">
        <v>86.307579215176403</v>
      </c>
      <c r="BC2">
        <v>574</v>
      </c>
      <c r="BD2" t="s">
        <v>143</v>
      </c>
      <c r="BE2">
        <v>3</v>
      </c>
      <c r="BF2">
        <v>25194424.079999998</v>
      </c>
      <c r="BG2">
        <v>43267167</v>
      </c>
      <c r="BH2">
        <v>5300000</v>
      </c>
      <c r="BI2">
        <v>413865</v>
      </c>
      <c r="BJ2">
        <v>1.7173310595476801</v>
      </c>
      <c r="BK2">
        <v>0.210364006860044</v>
      </c>
      <c r="BL2">
        <v>60.875947664093303</v>
      </c>
      <c r="BM2">
        <v>3.7105432541404998E-4</v>
      </c>
      <c r="BN2">
        <v>155.74083737166501</v>
      </c>
    </row>
    <row r="3" spans="1:66" x14ac:dyDescent="0.4">
      <c r="A3">
        <v>474</v>
      </c>
      <c r="B3" t="s">
        <v>81</v>
      </c>
      <c r="C3">
        <v>3</v>
      </c>
      <c r="D3">
        <v>133697443065</v>
      </c>
      <c r="E3">
        <v>134849070</v>
      </c>
      <c r="F3">
        <v>15975000</v>
      </c>
      <c r="G3">
        <v>747864</v>
      </c>
      <c r="H3">
        <v>1.0086136795783001E-3</v>
      </c>
      <c r="I3">
        <v>1.1948620432653499E-4</v>
      </c>
      <c r="J3">
        <v>178772.40121867001</v>
      </c>
      <c r="K3">
        <v>1.16288479466134E-4</v>
      </c>
      <c r="L3">
        <v>278.197298755725</v>
      </c>
      <c r="N3">
        <v>1094</v>
      </c>
      <c r="O3" t="s">
        <v>82</v>
      </c>
      <c r="P3">
        <v>2</v>
      </c>
      <c r="Q3">
        <v>387874472200</v>
      </c>
      <c r="R3">
        <v>599525339</v>
      </c>
      <c r="S3">
        <v>46883333.329999998</v>
      </c>
      <c r="T3">
        <v>4313727</v>
      </c>
      <c r="U3">
        <v>1.54566846227216E-3</v>
      </c>
      <c r="V3">
        <v>1.2087243861159599E-4</v>
      </c>
      <c r="W3">
        <v>89916.323448377705</v>
      </c>
      <c r="X3">
        <v>3.4065463694695901E-4</v>
      </c>
      <c r="Y3">
        <v>162.54143974238701</v>
      </c>
      <c r="AA3">
        <v>284</v>
      </c>
      <c r="AB3" s="2" t="s">
        <v>35</v>
      </c>
      <c r="AC3">
        <v>1</v>
      </c>
      <c r="AD3">
        <v>1786900351500</v>
      </c>
      <c r="AE3">
        <v>3177905489</v>
      </c>
      <c r="AF3">
        <v>258760282.28</v>
      </c>
      <c r="AG3">
        <v>12295510</v>
      </c>
      <c r="AH3">
        <v>1.7784458357357901E-3</v>
      </c>
      <c r="AI3">
        <v>1.4480957601400901E-4</v>
      </c>
      <c r="AJ3">
        <v>145329.502517585</v>
      </c>
      <c r="AK3">
        <v>1.7473666407157699E-3</v>
      </c>
      <c r="AL3">
        <v>71.767734097052198</v>
      </c>
      <c r="AN3" t="s">
        <v>274</v>
      </c>
      <c r="AP3">
        <v>362</v>
      </c>
      <c r="AQ3" t="s">
        <v>71</v>
      </c>
      <c r="AR3">
        <v>1</v>
      </c>
      <c r="AS3">
        <v>812740348.70000005</v>
      </c>
      <c r="AT3">
        <v>1510488445</v>
      </c>
      <c r="AU3">
        <v>112391108.40000001</v>
      </c>
      <c r="AV3">
        <v>5237698</v>
      </c>
      <c r="AW3">
        <v>1.8585129277955299</v>
      </c>
      <c r="AX3">
        <v>0.13828661094502301</v>
      </c>
      <c r="AY3">
        <v>155.17128874173301</v>
      </c>
      <c r="AZ3">
        <v>1.2365619567592701E-3</v>
      </c>
      <c r="BA3">
        <v>85.312626786306595</v>
      </c>
      <c r="BC3">
        <v>474</v>
      </c>
      <c r="BD3" t="s">
        <v>81</v>
      </c>
      <c r="BE3">
        <v>3</v>
      </c>
      <c r="BF3">
        <v>80715104.170000002</v>
      </c>
      <c r="BG3">
        <v>134849070</v>
      </c>
      <c r="BH3">
        <v>15975000</v>
      </c>
      <c r="BI3">
        <v>747864</v>
      </c>
      <c r="BJ3">
        <v>1.6706795015216001</v>
      </c>
      <c r="BK3">
        <v>0.19791834705873401</v>
      </c>
      <c r="BL3">
        <v>107.927516460212</v>
      </c>
      <c r="BM3">
        <v>1.18874273265484E-3</v>
      </c>
      <c r="BN3">
        <v>87.011632572552998</v>
      </c>
    </row>
    <row r="4" spans="1:66" x14ac:dyDescent="0.4">
      <c r="A4">
        <v>156</v>
      </c>
      <c r="B4" t="s">
        <v>132</v>
      </c>
      <c r="C4">
        <v>3</v>
      </c>
      <c r="D4">
        <v>156300000000</v>
      </c>
      <c r="E4">
        <v>236410555</v>
      </c>
      <c r="F4">
        <v>15275000</v>
      </c>
      <c r="G4">
        <v>2475000</v>
      </c>
      <c r="H4">
        <v>1.51254353806781E-3</v>
      </c>
      <c r="I4" s="1">
        <v>9.7728726807421603E-5</v>
      </c>
      <c r="J4">
        <v>63151.515151515101</v>
      </c>
      <c r="K4">
        <v>1.3594792034818601E-4</v>
      </c>
      <c r="L4">
        <v>257.29714693769603</v>
      </c>
      <c r="N4">
        <v>932</v>
      </c>
      <c r="O4" t="s">
        <v>56</v>
      </c>
      <c r="P4">
        <v>2</v>
      </c>
      <c r="Q4">
        <v>415200000000</v>
      </c>
      <c r="R4">
        <v>511287520</v>
      </c>
      <c r="S4">
        <v>48800000</v>
      </c>
      <c r="T4">
        <v>2000000</v>
      </c>
      <c r="U4">
        <v>1.2314246628131E-3</v>
      </c>
      <c r="V4">
        <v>1.1753371868978799E-4</v>
      </c>
      <c r="W4">
        <v>207600</v>
      </c>
      <c r="X4">
        <v>3.6465355520341302E-4</v>
      </c>
      <c r="Y4">
        <v>157.10175212740199</v>
      </c>
      <c r="AA4">
        <v>603</v>
      </c>
      <c r="AB4" s="2" t="s">
        <v>75</v>
      </c>
      <c r="AC4">
        <v>1</v>
      </c>
      <c r="AD4">
        <v>2355094187800</v>
      </c>
      <c r="AE4">
        <v>3229719440</v>
      </c>
      <c r="AF4">
        <v>351829593.38</v>
      </c>
      <c r="AG4">
        <v>29217968</v>
      </c>
      <c r="AH4">
        <v>1.3713759121528001E-3</v>
      </c>
      <c r="AI4">
        <v>1.4939088007713999E-4</v>
      </c>
      <c r="AJ4">
        <v>80604.311285439093</v>
      </c>
      <c r="AK4">
        <v>2.30298965247325E-3</v>
      </c>
      <c r="AL4">
        <v>62.513708224020398</v>
      </c>
      <c r="AN4" t="s">
        <v>275</v>
      </c>
      <c r="AP4">
        <v>284</v>
      </c>
      <c r="AQ4" s="2" t="s">
        <v>35</v>
      </c>
      <c r="AR4">
        <v>1</v>
      </c>
      <c r="AS4">
        <v>1283884173</v>
      </c>
      <c r="AT4">
        <v>3177905489</v>
      </c>
      <c r="AU4">
        <v>258760282.28</v>
      </c>
      <c r="AV4">
        <v>12295510</v>
      </c>
      <c r="AW4">
        <v>2.47522756011106</v>
      </c>
      <c r="AX4">
        <v>0.20154488054429801</v>
      </c>
      <c r="AY4">
        <v>104.418944232488</v>
      </c>
      <c r="AZ4">
        <v>1.9533942516285199E-3</v>
      </c>
      <c r="BA4">
        <v>67.877572461531898</v>
      </c>
      <c r="BC4">
        <v>737</v>
      </c>
      <c r="BD4" t="s">
        <v>113</v>
      </c>
      <c r="BE4">
        <v>3</v>
      </c>
      <c r="BF4">
        <v>83972271.200000003</v>
      </c>
      <c r="BG4">
        <v>155395293</v>
      </c>
      <c r="BH4">
        <v>23575000</v>
      </c>
      <c r="BI4">
        <v>1549881</v>
      </c>
      <c r="BJ4">
        <v>1.85055484125097</v>
      </c>
      <c r="BK4">
        <v>0.28074743797092799</v>
      </c>
      <c r="BL4">
        <v>54.179818450577798</v>
      </c>
      <c r="BM4">
        <v>1.2367131054341399E-3</v>
      </c>
      <c r="BN4">
        <v>85.307413255192102</v>
      </c>
    </row>
    <row r="5" spans="1:66" x14ac:dyDescent="0.4">
      <c r="A5">
        <v>737</v>
      </c>
      <c r="B5" t="s">
        <v>113</v>
      </c>
      <c r="C5">
        <v>3</v>
      </c>
      <c r="D5">
        <v>163921962200</v>
      </c>
      <c r="E5">
        <v>155395293</v>
      </c>
      <c r="F5">
        <v>23575000</v>
      </c>
      <c r="G5">
        <v>1549881</v>
      </c>
      <c r="H5">
        <v>9.47983363024921E-4</v>
      </c>
      <c r="I5">
        <v>1.4381843459899699E-4</v>
      </c>
      <c r="J5">
        <v>105764.22460821101</v>
      </c>
      <c r="K5">
        <v>1.4257741433450999E-4</v>
      </c>
      <c r="L5">
        <v>251.24410899384301</v>
      </c>
      <c r="N5">
        <v>307</v>
      </c>
      <c r="O5" t="s">
        <v>58</v>
      </c>
      <c r="P5">
        <v>2</v>
      </c>
      <c r="Q5">
        <v>518700000000</v>
      </c>
      <c r="R5">
        <v>788386642</v>
      </c>
      <c r="S5">
        <v>74575000</v>
      </c>
      <c r="T5">
        <v>4810112</v>
      </c>
      <c r="U5">
        <v>1.5199279776363899E-3</v>
      </c>
      <c r="V5" s="1">
        <v>1.4377289377289301E-4</v>
      </c>
      <c r="W5">
        <v>107835.32691130599</v>
      </c>
      <c r="X5">
        <v>4.5555346600195201E-4</v>
      </c>
      <c r="Y5">
        <v>140.55670805462501</v>
      </c>
      <c r="AA5">
        <v>931</v>
      </c>
      <c r="AB5" t="s">
        <v>142</v>
      </c>
      <c r="AC5">
        <v>1</v>
      </c>
      <c r="AD5">
        <v>2600003565250</v>
      </c>
      <c r="AE5">
        <v>3556593738</v>
      </c>
      <c r="AF5">
        <v>260692186.66999999</v>
      </c>
      <c r="AG5">
        <v>39802356</v>
      </c>
      <c r="AH5">
        <v>1.36791879270289E-3</v>
      </c>
      <c r="AI5">
        <v>1.0026608815243399E-4</v>
      </c>
      <c r="AJ5">
        <v>65322.8558945103</v>
      </c>
      <c r="AK5">
        <v>2.5424806099826401E-3</v>
      </c>
      <c r="AL5">
        <v>59.496638602663403</v>
      </c>
      <c r="AN5" t="s">
        <v>276</v>
      </c>
      <c r="AP5">
        <v>603</v>
      </c>
      <c r="AQ5" s="2" t="s">
        <v>75</v>
      </c>
      <c r="AR5">
        <v>1</v>
      </c>
      <c r="AS5">
        <v>1340835940.4000001</v>
      </c>
      <c r="AT5">
        <v>3229719440</v>
      </c>
      <c r="AU5">
        <v>351829593.38</v>
      </c>
      <c r="AV5">
        <v>29217968</v>
      </c>
      <c r="AW5">
        <v>2.4087357317081599</v>
      </c>
      <c r="AX5">
        <v>0.262395706125718</v>
      </c>
      <c r="AY5">
        <v>45.890800496461601</v>
      </c>
      <c r="AZ5">
        <v>2.0400447902041998E-3</v>
      </c>
      <c r="BA5">
        <v>66.420387257080804</v>
      </c>
      <c r="BC5">
        <v>539</v>
      </c>
      <c r="BD5" t="s">
        <v>76</v>
      </c>
      <c r="BE5">
        <v>3</v>
      </c>
      <c r="BF5">
        <v>89001603.180000007</v>
      </c>
      <c r="BG5">
        <v>160213511</v>
      </c>
      <c r="BH5">
        <v>31125000</v>
      </c>
      <c r="BI5">
        <v>1769998</v>
      </c>
      <c r="BJ5">
        <v>1.8001193829731099</v>
      </c>
      <c r="BK5">
        <v>0.34971280165652402</v>
      </c>
      <c r="BL5">
        <v>50.283448444574503</v>
      </c>
      <c r="BM5">
        <v>1.3107832798186299E-3</v>
      </c>
      <c r="BN5">
        <v>82.862075709026698</v>
      </c>
    </row>
    <row r="6" spans="1:66" x14ac:dyDescent="0.4">
      <c r="A6">
        <v>539</v>
      </c>
      <c r="B6" t="s">
        <v>76</v>
      </c>
      <c r="C6">
        <v>3</v>
      </c>
      <c r="D6">
        <v>172973695800</v>
      </c>
      <c r="E6">
        <v>160213511</v>
      </c>
      <c r="F6">
        <v>31125000</v>
      </c>
      <c r="G6">
        <v>1769998</v>
      </c>
      <c r="H6">
        <v>9.2623048989625605E-4</v>
      </c>
      <c r="I6">
        <v>1.7994065430612099E-4</v>
      </c>
      <c r="J6">
        <v>97725.3622885449</v>
      </c>
      <c r="K6">
        <v>1.5045050683909001E-4</v>
      </c>
      <c r="L6">
        <v>244.581963482285</v>
      </c>
      <c r="N6">
        <v>30</v>
      </c>
      <c r="O6" t="s">
        <v>31</v>
      </c>
      <c r="P6">
        <v>2</v>
      </c>
      <c r="Q6">
        <v>591617725800</v>
      </c>
      <c r="R6">
        <v>1079151408</v>
      </c>
      <c r="S6">
        <v>119061250</v>
      </c>
      <c r="T6">
        <v>6351724</v>
      </c>
      <c r="U6">
        <v>1.8240687540941099E-3</v>
      </c>
      <c r="V6">
        <v>2.0124692822379899E-4</v>
      </c>
      <c r="W6">
        <v>93142.857876066395</v>
      </c>
      <c r="X6">
        <v>5.1959418842564603E-4</v>
      </c>
      <c r="Y6">
        <v>131.610067620069</v>
      </c>
      <c r="AA6">
        <v>989</v>
      </c>
      <c r="AB6" s="2" t="s">
        <v>62</v>
      </c>
      <c r="AC6">
        <v>1</v>
      </c>
      <c r="AD6">
        <v>2773189258500</v>
      </c>
      <c r="AE6">
        <v>3557258380</v>
      </c>
      <c r="AF6">
        <v>346670002.82999998</v>
      </c>
      <c r="AG6">
        <v>15953830</v>
      </c>
      <c r="AH6">
        <v>1.2827319192502901E-3</v>
      </c>
      <c r="AI6">
        <v>1.25007697100886E-4</v>
      </c>
      <c r="AJ6">
        <v>173825.92509134099</v>
      </c>
      <c r="AK6">
        <v>2.7118347112229601E-3</v>
      </c>
      <c r="AL6">
        <v>57.608908525465402</v>
      </c>
      <c r="AN6" t="s">
        <v>277</v>
      </c>
      <c r="AP6">
        <v>989</v>
      </c>
      <c r="AQ6" s="2" t="s">
        <v>62</v>
      </c>
      <c r="AR6">
        <v>1</v>
      </c>
      <c r="AS6">
        <v>1700237644.5</v>
      </c>
      <c r="AT6">
        <v>3557258380</v>
      </c>
      <c r="AU6">
        <v>346670002.82999998</v>
      </c>
      <c r="AV6">
        <v>15953830</v>
      </c>
      <c r="AW6">
        <v>2.0922124571862999</v>
      </c>
      <c r="AX6">
        <v>0.203895028410541</v>
      </c>
      <c r="AY6">
        <v>106.57238070732799</v>
      </c>
      <c r="AZ6">
        <v>2.5868645404422499E-3</v>
      </c>
      <c r="BA6">
        <v>58.984025798096503</v>
      </c>
      <c r="BC6">
        <v>1105</v>
      </c>
      <c r="BD6" t="s">
        <v>207</v>
      </c>
      <c r="BE6">
        <v>3</v>
      </c>
      <c r="BF6">
        <v>94124158.829999998</v>
      </c>
      <c r="BG6">
        <v>174572404</v>
      </c>
      <c r="BH6">
        <v>18262500</v>
      </c>
      <c r="BI6">
        <v>2175000</v>
      </c>
      <c r="BJ6">
        <v>1.85470347007615</v>
      </c>
      <c r="BK6">
        <v>0.194025638337808</v>
      </c>
      <c r="BL6">
        <v>43.275475324137901</v>
      </c>
      <c r="BM6">
        <v>1.38622641854929E-3</v>
      </c>
      <c r="BN6">
        <v>80.575715200690397</v>
      </c>
    </row>
    <row r="7" spans="1:66" x14ac:dyDescent="0.4">
      <c r="A7">
        <v>405</v>
      </c>
      <c r="B7" t="s">
        <v>47</v>
      </c>
      <c r="C7">
        <v>3</v>
      </c>
      <c r="D7">
        <v>173489588160</v>
      </c>
      <c r="E7">
        <v>326038000</v>
      </c>
      <c r="F7">
        <v>27200000</v>
      </c>
      <c r="G7">
        <v>2212877</v>
      </c>
      <c r="H7">
        <v>1.87929433378626E-3</v>
      </c>
      <c r="I7">
        <v>1.5678174286121901E-4</v>
      </c>
      <c r="J7">
        <v>78400.0141715965</v>
      </c>
      <c r="K7">
        <v>1.50899224007775E-4</v>
      </c>
      <c r="L7">
        <v>244.21804565645201</v>
      </c>
      <c r="N7">
        <v>147</v>
      </c>
      <c r="O7" t="s">
        <v>86</v>
      </c>
      <c r="P7">
        <v>2</v>
      </c>
      <c r="Q7">
        <v>691588682500</v>
      </c>
      <c r="R7">
        <v>605065197</v>
      </c>
      <c r="S7">
        <v>113750000</v>
      </c>
      <c r="T7">
        <v>6030593</v>
      </c>
      <c r="U7">
        <v>8.7489169836147502E-4</v>
      </c>
      <c r="V7">
        <v>1.64476375739419E-4</v>
      </c>
      <c r="W7">
        <v>114680.045975578</v>
      </c>
      <c r="X7">
        <v>6.0739468162829898E-4</v>
      </c>
      <c r="Y7">
        <v>121.726675833223</v>
      </c>
      <c r="AA7">
        <v>19</v>
      </c>
      <c r="AB7" s="2" t="s">
        <v>26</v>
      </c>
      <c r="AC7">
        <v>1</v>
      </c>
      <c r="AD7">
        <v>2990750000000</v>
      </c>
      <c r="AE7">
        <v>4497931980</v>
      </c>
      <c r="AF7">
        <v>428525210.33999997</v>
      </c>
      <c r="AG7">
        <v>10440000</v>
      </c>
      <c r="AH7">
        <v>1.50394783248349E-3</v>
      </c>
      <c r="AI7">
        <v>1.43283527656942E-4</v>
      </c>
      <c r="AJ7">
        <v>286470.30651340901</v>
      </c>
      <c r="AK7">
        <v>2.9245820990151002E-3</v>
      </c>
      <c r="AL7">
        <v>55.473982607149303</v>
      </c>
      <c r="AN7" t="s">
        <v>278</v>
      </c>
      <c r="AP7">
        <v>1106</v>
      </c>
      <c r="AQ7" s="2" t="s">
        <v>21</v>
      </c>
      <c r="AR7">
        <v>1</v>
      </c>
      <c r="AS7">
        <v>2479419047.8200002</v>
      </c>
      <c r="AT7">
        <v>6640646622.46</v>
      </c>
      <c r="AU7">
        <v>576589914.46000004</v>
      </c>
      <c r="AV7">
        <v>38388059</v>
      </c>
      <c r="AW7">
        <v>2.6783074963865801</v>
      </c>
      <c r="AX7">
        <v>0.232550409325507</v>
      </c>
      <c r="AY7">
        <v>64.588288973401802</v>
      </c>
      <c r="AZ7">
        <v>3.7723674901862501E-3</v>
      </c>
      <c r="BA7">
        <v>48.8443413849254</v>
      </c>
      <c r="BC7">
        <v>471</v>
      </c>
      <c r="BD7" t="s">
        <v>67</v>
      </c>
      <c r="BE7">
        <v>3</v>
      </c>
      <c r="BF7">
        <v>102366420</v>
      </c>
      <c r="BG7">
        <v>353316810</v>
      </c>
      <c r="BH7">
        <v>31050000</v>
      </c>
      <c r="BI7">
        <v>2362075</v>
      </c>
      <c r="BJ7">
        <v>3.45149131912593</v>
      </c>
      <c r="BK7">
        <v>0.30332212457952501</v>
      </c>
      <c r="BL7">
        <v>43.337497750918097</v>
      </c>
      <c r="BM7">
        <v>1.50761544687594E-3</v>
      </c>
      <c r="BN7">
        <v>77.263782490302304</v>
      </c>
    </row>
    <row r="8" spans="1:66" x14ac:dyDescent="0.4">
      <c r="A8">
        <v>987</v>
      </c>
      <c r="B8" t="s">
        <v>196</v>
      </c>
      <c r="C8">
        <v>3</v>
      </c>
      <c r="D8">
        <v>186580346250</v>
      </c>
      <c r="E8">
        <v>153973459</v>
      </c>
      <c r="F8">
        <v>16727078.039999999</v>
      </c>
      <c r="G8">
        <v>2528282</v>
      </c>
      <c r="H8">
        <v>8.2523943220520204E-4</v>
      </c>
      <c r="I8" s="1">
        <v>8.9650803936162105E-5</v>
      </c>
      <c r="J8">
        <v>73797.284579014493</v>
      </c>
      <c r="K8">
        <v>1.6228541299124799E-4</v>
      </c>
      <c r="L8">
        <v>235.494903214788</v>
      </c>
      <c r="N8">
        <v>930</v>
      </c>
      <c r="O8" t="s">
        <v>104</v>
      </c>
      <c r="P8">
        <v>2</v>
      </c>
      <c r="Q8">
        <v>697021785000</v>
      </c>
      <c r="R8">
        <v>980020087</v>
      </c>
      <c r="S8">
        <v>71112469.930000007</v>
      </c>
      <c r="T8">
        <v>5808515</v>
      </c>
      <c r="U8">
        <v>1.4060106987904199E-3</v>
      </c>
      <c r="V8">
        <v>1.0202331040485299E-4</v>
      </c>
      <c r="W8">
        <v>119999.997417584</v>
      </c>
      <c r="X8">
        <v>6.1216635827186696E-4</v>
      </c>
      <c r="Y8">
        <v>121.2513339301</v>
      </c>
      <c r="AA8">
        <v>553</v>
      </c>
      <c r="AB8" t="s">
        <v>39</v>
      </c>
      <c r="AC8">
        <v>1</v>
      </c>
      <c r="AD8">
        <v>4003444563600</v>
      </c>
      <c r="AE8">
        <v>4982443783</v>
      </c>
      <c r="AF8">
        <v>688472658.71000004</v>
      </c>
      <c r="AG8">
        <v>24290936</v>
      </c>
      <c r="AH8">
        <v>1.24453922212417E-3</v>
      </c>
      <c r="AI8">
        <v>1.71970074213019E-4</v>
      </c>
      <c r="AJ8">
        <v>164812.28074537701</v>
      </c>
      <c r="AK8">
        <v>3.9148716225374499E-3</v>
      </c>
      <c r="AL8">
        <v>47.947116276199203</v>
      </c>
      <c r="AN8" t="s">
        <v>279</v>
      </c>
      <c r="AP8">
        <v>553</v>
      </c>
      <c r="AQ8" t="s">
        <v>39</v>
      </c>
      <c r="AR8">
        <v>1</v>
      </c>
      <c r="AS8">
        <v>2526711642.4000001</v>
      </c>
      <c r="AT8">
        <v>4982443783</v>
      </c>
      <c r="AU8">
        <v>688472658.71000004</v>
      </c>
      <c r="AV8">
        <v>24290936</v>
      </c>
      <c r="AW8">
        <v>1.97190834893506</v>
      </c>
      <c r="AX8">
        <v>0.27247773238423501</v>
      </c>
      <c r="AY8">
        <v>104.018702383473</v>
      </c>
      <c r="AZ8">
        <v>3.8443218645293101E-3</v>
      </c>
      <c r="BA8">
        <v>48.385071135254499</v>
      </c>
      <c r="BC8">
        <v>987</v>
      </c>
      <c r="BD8" t="s">
        <v>196</v>
      </c>
      <c r="BE8">
        <v>3</v>
      </c>
      <c r="BF8">
        <v>105199655</v>
      </c>
      <c r="BG8">
        <v>153973459</v>
      </c>
      <c r="BH8">
        <v>16727078.039999999</v>
      </c>
      <c r="BI8">
        <v>2528282</v>
      </c>
      <c r="BJ8">
        <v>1.4636308360516901</v>
      </c>
      <c r="BK8">
        <v>0.15900316441151799</v>
      </c>
      <c r="BL8">
        <v>41.609146052536801</v>
      </c>
      <c r="BM8">
        <v>1.5493423027201701E-3</v>
      </c>
      <c r="BN8">
        <v>76.216247986441203</v>
      </c>
    </row>
    <row r="9" spans="1:66" x14ac:dyDescent="0.4">
      <c r="A9">
        <v>943</v>
      </c>
      <c r="B9" t="s">
        <v>184</v>
      </c>
      <c r="C9">
        <v>3</v>
      </c>
      <c r="D9">
        <v>205774685000</v>
      </c>
      <c r="E9">
        <v>212560977</v>
      </c>
      <c r="F9">
        <v>18250000</v>
      </c>
      <c r="G9">
        <v>2900653</v>
      </c>
      <c r="H9">
        <v>1.03297923648868E-3</v>
      </c>
      <c r="I9" s="1">
        <v>8.8689237940031302E-5</v>
      </c>
      <c r="J9">
        <v>70940.814016705801</v>
      </c>
      <c r="K9">
        <v>1.7898042537461999E-4</v>
      </c>
      <c r="L9">
        <v>224.24278924626</v>
      </c>
      <c r="N9">
        <v>835</v>
      </c>
      <c r="O9" t="s">
        <v>183</v>
      </c>
      <c r="P9">
        <v>2</v>
      </c>
      <c r="Q9">
        <v>808204000000</v>
      </c>
      <c r="R9">
        <v>586248172</v>
      </c>
      <c r="S9">
        <v>73900000</v>
      </c>
      <c r="T9">
        <v>6769750</v>
      </c>
      <c r="U9">
        <v>7.2537152996025704E-4</v>
      </c>
      <c r="V9" s="1">
        <v>9.1437310382032195E-5</v>
      </c>
      <c r="W9">
        <v>119384.615384615</v>
      </c>
      <c r="X9">
        <v>7.0981325127557695E-4</v>
      </c>
      <c r="Y9">
        <v>112.602803483484</v>
      </c>
      <c r="AA9">
        <v>52</v>
      </c>
      <c r="AB9" t="s">
        <v>68</v>
      </c>
      <c r="AC9">
        <v>1</v>
      </c>
      <c r="AD9">
        <v>4375320465850</v>
      </c>
      <c r="AE9">
        <v>6006117000</v>
      </c>
      <c r="AF9">
        <v>716960948.51999998</v>
      </c>
      <c r="AG9">
        <v>55677883</v>
      </c>
      <c r="AH9">
        <v>1.3727261915735299E-3</v>
      </c>
      <c r="AI9">
        <v>1.63864785246242E-4</v>
      </c>
      <c r="AJ9">
        <v>78582.737527035599</v>
      </c>
      <c r="AK9">
        <v>4.27852007418852E-3</v>
      </c>
      <c r="AL9">
        <v>45.864268130118901</v>
      </c>
      <c r="AN9" t="s">
        <v>280</v>
      </c>
      <c r="AP9">
        <v>52</v>
      </c>
      <c r="AQ9" t="s">
        <v>68</v>
      </c>
      <c r="AR9">
        <v>1</v>
      </c>
      <c r="AS9">
        <v>2848460184.5</v>
      </c>
      <c r="AT9">
        <v>6006117000</v>
      </c>
      <c r="AU9">
        <v>716960948.51999998</v>
      </c>
      <c r="AV9">
        <v>55677883</v>
      </c>
      <c r="AW9">
        <v>2.1085486933194599</v>
      </c>
      <c r="AX9">
        <v>0.25170123578393999</v>
      </c>
      <c r="AY9">
        <v>51.159635227151099</v>
      </c>
      <c r="AZ9">
        <v>4.3338533704278502E-3</v>
      </c>
      <c r="BA9">
        <v>45.570537173520101</v>
      </c>
      <c r="BC9">
        <v>936</v>
      </c>
      <c r="BD9" t="s">
        <v>191</v>
      </c>
      <c r="BE9">
        <v>3</v>
      </c>
      <c r="BF9">
        <v>106271754</v>
      </c>
      <c r="BG9">
        <v>167972183</v>
      </c>
      <c r="BH9">
        <v>22208783.25</v>
      </c>
      <c r="BI9">
        <v>2057500</v>
      </c>
      <c r="BJ9">
        <v>1.58059104773974</v>
      </c>
      <c r="BK9">
        <v>0.20898105483419399</v>
      </c>
      <c r="BL9">
        <v>51.650913244228398</v>
      </c>
      <c r="BM9">
        <v>1.56513178732831E-3</v>
      </c>
      <c r="BN9">
        <v>75.830828117050004</v>
      </c>
    </row>
    <row r="10" spans="1:66" x14ac:dyDescent="0.4">
      <c r="A10">
        <v>471</v>
      </c>
      <c r="B10" t="s">
        <v>67</v>
      </c>
      <c r="C10">
        <v>3</v>
      </c>
      <c r="D10">
        <v>226627431360</v>
      </c>
      <c r="E10">
        <v>353316810</v>
      </c>
      <c r="F10">
        <v>31050000</v>
      </c>
      <c r="G10">
        <v>2362075</v>
      </c>
      <c r="H10">
        <v>1.5590204940316801E-3</v>
      </c>
      <c r="I10">
        <v>1.3700900995818399E-4</v>
      </c>
      <c r="J10">
        <v>95944.214878867104</v>
      </c>
      <c r="K10">
        <v>1.97117901389913E-4</v>
      </c>
      <c r="L10">
        <v>213.67721830692801</v>
      </c>
      <c r="N10">
        <v>46</v>
      </c>
      <c r="O10" t="s">
        <v>110</v>
      </c>
      <c r="P10">
        <v>2</v>
      </c>
      <c r="Q10">
        <v>876400371000</v>
      </c>
      <c r="R10">
        <v>661803710</v>
      </c>
      <c r="S10">
        <v>103075000</v>
      </c>
      <c r="T10">
        <v>4666791</v>
      </c>
      <c r="U10">
        <v>7.5513855527566804E-4</v>
      </c>
      <c r="V10">
        <v>1.1761177129853099E-4</v>
      </c>
      <c r="W10">
        <v>187795.07610261501</v>
      </c>
      <c r="X10">
        <v>7.69707396596196E-4</v>
      </c>
      <c r="Y10">
        <v>108.133042992855</v>
      </c>
      <c r="AA10">
        <v>1108</v>
      </c>
      <c r="AB10" s="2" t="s">
        <v>111</v>
      </c>
      <c r="AC10">
        <v>1</v>
      </c>
      <c r="AD10">
        <v>4390441492500</v>
      </c>
      <c r="AE10">
        <v>7356945081</v>
      </c>
      <c r="AF10">
        <v>353904180.05000001</v>
      </c>
      <c r="AG10">
        <v>41796270</v>
      </c>
      <c r="AH10">
        <v>1.6756731853886501E-3</v>
      </c>
      <c r="AI10" s="1">
        <v>8.0607879789437804E-5</v>
      </c>
      <c r="AJ10">
        <v>105043.85899746499</v>
      </c>
      <c r="AK10">
        <v>4.2933065604743503E-3</v>
      </c>
      <c r="AL10">
        <v>45.785219931629697</v>
      </c>
      <c r="AN10" t="s">
        <v>281</v>
      </c>
      <c r="AP10">
        <v>73</v>
      </c>
      <c r="AQ10" t="s">
        <v>101</v>
      </c>
      <c r="AR10">
        <v>1</v>
      </c>
      <c r="AS10">
        <v>2947872708</v>
      </c>
      <c r="AT10">
        <v>3679353019</v>
      </c>
      <c r="AU10">
        <v>835693055.55999994</v>
      </c>
      <c r="AV10">
        <v>35318944</v>
      </c>
      <c r="AW10">
        <v>1.2481383639852801</v>
      </c>
      <c r="AX10">
        <v>0.28349021085343201</v>
      </c>
      <c r="AY10">
        <v>83.464350123265206</v>
      </c>
      <c r="AZ10">
        <v>4.4851067747680804E-3</v>
      </c>
      <c r="BA10">
        <v>44.7955487848619</v>
      </c>
      <c r="BC10">
        <v>932</v>
      </c>
      <c r="BD10" t="s">
        <v>56</v>
      </c>
      <c r="BE10">
        <v>2</v>
      </c>
      <c r="BF10">
        <v>155700000</v>
      </c>
      <c r="BG10">
        <v>511287520</v>
      </c>
      <c r="BH10">
        <v>48800000</v>
      </c>
      <c r="BI10">
        <v>2000000</v>
      </c>
      <c r="BJ10">
        <v>3.2837991008349299</v>
      </c>
      <c r="BK10">
        <v>0.31342324983943398</v>
      </c>
      <c r="BL10">
        <v>77.849999999999994</v>
      </c>
      <c r="BM10">
        <v>2.2930930385040801E-3</v>
      </c>
      <c r="BN10">
        <v>62.648462449063103</v>
      </c>
    </row>
    <row r="11" spans="1:66" x14ac:dyDescent="0.4">
      <c r="A11">
        <v>1052</v>
      </c>
      <c r="B11" t="s">
        <v>190</v>
      </c>
      <c r="C11">
        <v>3</v>
      </c>
      <c r="D11">
        <v>228092804550</v>
      </c>
      <c r="E11">
        <v>173181752</v>
      </c>
      <c r="F11">
        <v>22387500</v>
      </c>
      <c r="G11">
        <v>2448127</v>
      </c>
      <c r="H11">
        <v>7.5926004041059901E-4</v>
      </c>
      <c r="I11" s="1">
        <v>9.8150838401798196E-5</v>
      </c>
      <c r="J11">
        <v>93170.331665799997</v>
      </c>
      <c r="K11">
        <v>1.98392465930632E-4</v>
      </c>
      <c r="L11">
        <v>212.989731931987</v>
      </c>
      <c r="N11">
        <v>1063</v>
      </c>
      <c r="O11" t="s">
        <v>112</v>
      </c>
      <c r="P11">
        <v>2</v>
      </c>
      <c r="Q11">
        <v>948621810300</v>
      </c>
      <c r="R11">
        <v>1140429329</v>
      </c>
      <c r="S11">
        <v>135569088.06</v>
      </c>
      <c r="T11">
        <v>14006286</v>
      </c>
      <c r="U11">
        <v>1.20219598223167E-3</v>
      </c>
      <c r="V11">
        <v>1.4291162883670801E-4</v>
      </c>
      <c r="W11">
        <v>67728.290733175003</v>
      </c>
      <c r="X11">
        <v>8.3313659843302801E-4</v>
      </c>
      <c r="Y11">
        <v>103.93531780094899</v>
      </c>
      <c r="AA11">
        <v>275</v>
      </c>
      <c r="AB11" s="2" t="s">
        <v>34</v>
      </c>
      <c r="AC11">
        <v>1</v>
      </c>
      <c r="AD11">
        <v>6779045878000</v>
      </c>
      <c r="AE11">
        <v>15577184456</v>
      </c>
      <c r="AF11">
        <v>959463157.59000003</v>
      </c>
      <c r="AG11">
        <v>97771862</v>
      </c>
      <c r="AH11">
        <v>2.2978431974553402E-3</v>
      </c>
      <c r="AI11">
        <v>1.4153365751716401E-4</v>
      </c>
      <c r="AJ11">
        <v>69335.345971011498</v>
      </c>
      <c r="AK11">
        <v>6.6290650248937303E-3</v>
      </c>
      <c r="AL11">
        <v>36.846404475514902</v>
      </c>
      <c r="AN11" t="s">
        <v>282</v>
      </c>
      <c r="AP11">
        <v>370</v>
      </c>
      <c r="AQ11" t="s">
        <v>159</v>
      </c>
      <c r="AR11">
        <v>1</v>
      </c>
      <c r="AS11">
        <v>412796142</v>
      </c>
      <c r="AT11">
        <v>271575177</v>
      </c>
      <c r="AU11">
        <v>59544166.670000002</v>
      </c>
      <c r="AV11">
        <v>4899307</v>
      </c>
      <c r="AW11">
        <v>0.65789175180808701</v>
      </c>
      <c r="AX11">
        <v>0.144245937913828</v>
      </c>
      <c r="AY11">
        <v>84.256026821752499</v>
      </c>
      <c r="AZ11">
        <v>6.2805791039004602E-4</v>
      </c>
      <c r="BA11">
        <v>39.902504481080499</v>
      </c>
      <c r="BC11">
        <v>895</v>
      </c>
      <c r="BD11" t="s">
        <v>195</v>
      </c>
      <c r="BE11">
        <v>2</v>
      </c>
      <c r="BF11">
        <v>181522785.19999999</v>
      </c>
      <c r="BG11">
        <v>459157853</v>
      </c>
      <c r="BH11">
        <v>33485821</v>
      </c>
      <c r="BI11">
        <v>4284000</v>
      </c>
      <c r="BJ11">
        <v>2.52947778701227</v>
      </c>
      <c r="BK11">
        <v>0.184471723277635</v>
      </c>
      <c r="BL11">
        <v>42.372265452847799</v>
      </c>
      <c r="BM11">
        <v>2.6734016382273002E-3</v>
      </c>
      <c r="BN11">
        <v>58.0215263983103</v>
      </c>
    </row>
    <row r="12" spans="1:66" x14ac:dyDescent="0.4">
      <c r="A12">
        <v>468</v>
      </c>
      <c r="B12" t="s">
        <v>185</v>
      </c>
      <c r="C12">
        <v>3</v>
      </c>
      <c r="D12">
        <v>241010000000</v>
      </c>
      <c r="E12">
        <v>200213504</v>
      </c>
      <c r="F12">
        <v>24600000</v>
      </c>
      <c r="G12">
        <v>3080000</v>
      </c>
      <c r="H12">
        <v>8.3072695738765998E-4</v>
      </c>
      <c r="I12">
        <v>1.02070453508153E-4</v>
      </c>
      <c r="J12">
        <v>78250</v>
      </c>
      <c r="K12">
        <v>2.09627692150457E-4</v>
      </c>
      <c r="L12">
        <v>207.20342419181699</v>
      </c>
      <c r="N12">
        <v>395</v>
      </c>
      <c r="O12" t="s">
        <v>169</v>
      </c>
      <c r="P12">
        <v>2</v>
      </c>
      <c r="Q12">
        <v>1014004800000</v>
      </c>
      <c r="R12">
        <v>736677415</v>
      </c>
      <c r="S12">
        <v>88237500</v>
      </c>
      <c r="T12">
        <v>6726400</v>
      </c>
      <c r="U12">
        <v>7.2650288736305702E-4</v>
      </c>
      <c r="V12" s="1">
        <v>8.7018818845827894E-5</v>
      </c>
      <c r="W12">
        <v>150750</v>
      </c>
      <c r="X12">
        <v>8.9055986347140296E-4</v>
      </c>
      <c r="Y12">
        <v>100.52861417509099</v>
      </c>
      <c r="AA12">
        <v>1116</v>
      </c>
      <c r="AB12" s="2" t="s">
        <v>139</v>
      </c>
      <c r="AC12">
        <v>1</v>
      </c>
      <c r="AD12">
        <v>7358179098600</v>
      </c>
      <c r="AE12">
        <v>5483825614</v>
      </c>
      <c r="AF12">
        <v>830817650</v>
      </c>
      <c r="AG12">
        <v>49541072</v>
      </c>
      <c r="AH12">
        <v>7.4526938533520798E-4</v>
      </c>
      <c r="AI12">
        <v>1.12910767578092E-4</v>
      </c>
      <c r="AJ12">
        <v>148526.84452609299</v>
      </c>
      <c r="AK12">
        <v>7.1953853960085804E-3</v>
      </c>
      <c r="AL12">
        <v>35.366674431223998</v>
      </c>
      <c r="AN12" t="s">
        <v>283</v>
      </c>
      <c r="AP12">
        <v>1071</v>
      </c>
      <c r="AQ12" t="s">
        <v>206</v>
      </c>
      <c r="AR12">
        <v>1</v>
      </c>
      <c r="AS12">
        <v>469156431.60000002</v>
      </c>
      <c r="AT12">
        <v>445224238</v>
      </c>
      <c r="AU12">
        <v>102808156.59</v>
      </c>
      <c r="AV12">
        <v>10000000</v>
      </c>
      <c r="AW12">
        <v>0.94898888305040896</v>
      </c>
      <c r="AX12">
        <v>0.219134066305742</v>
      </c>
      <c r="AY12">
        <v>46.915643160000002</v>
      </c>
      <c r="AZ12">
        <v>7.1380853185577103E-4</v>
      </c>
      <c r="BA12">
        <v>37.429078305478001</v>
      </c>
      <c r="BC12">
        <v>1094</v>
      </c>
      <c r="BD12" t="s">
        <v>82</v>
      </c>
      <c r="BE12">
        <v>2</v>
      </c>
      <c r="BF12">
        <v>186110957.05000001</v>
      </c>
      <c r="BG12">
        <v>599525339</v>
      </c>
      <c r="BH12">
        <v>46883333.329999998</v>
      </c>
      <c r="BI12">
        <v>4313727</v>
      </c>
      <c r="BJ12">
        <v>3.2213328462919701</v>
      </c>
      <c r="BK12">
        <v>0.25191065627266801</v>
      </c>
      <c r="BL12">
        <v>43.143888579411701</v>
      </c>
      <c r="BM12">
        <v>2.7409745664784E-3</v>
      </c>
      <c r="BN12">
        <v>57.301864300727097</v>
      </c>
    </row>
    <row r="13" spans="1:66" x14ac:dyDescent="0.4">
      <c r="A13">
        <v>392</v>
      </c>
      <c r="B13" t="s">
        <v>80</v>
      </c>
      <c r="C13">
        <v>3</v>
      </c>
      <c r="D13">
        <v>275767900000</v>
      </c>
      <c r="E13">
        <v>307022776</v>
      </c>
      <c r="F13">
        <v>48808333.329999998</v>
      </c>
      <c r="G13">
        <v>4378924</v>
      </c>
      <c r="H13">
        <v>1.1133376147115001E-3</v>
      </c>
      <c r="I13">
        <v>1.76990626283914E-4</v>
      </c>
      <c r="J13">
        <v>62976.178622876301</v>
      </c>
      <c r="K13">
        <v>2.39859708917381E-4</v>
      </c>
      <c r="L13">
        <v>193.70579057603601</v>
      </c>
      <c r="N13">
        <v>125</v>
      </c>
      <c r="O13" t="s">
        <v>200</v>
      </c>
      <c r="P13">
        <v>2</v>
      </c>
      <c r="Q13">
        <v>1040874546250</v>
      </c>
      <c r="R13">
        <v>826890933</v>
      </c>
      <c r="S13">
        <v>88342601</v>
      </c>
      <c r="T13">
        <v>13764630</v>
      </c>
      <c r="U13">
        <v>7.9441940047344996E-4</v>
      </c>
      <c r="V13" s="1">
        <v>8.4873437743554497E-5</v>
      </c>
      <c r="W13">
        <v>75619.507843654297</v>
      </c>
      <c r="X13">
        <v>9.1415848702023695E-4</v>
      </c>
      <c r="Y13">
        <v>99.222578055182595</v>
      </c>
      <c r="AA13">
        <v>977</v>
      </c>
      <c r="AB13" t="s">
        <v>73</v>
      </c>
      <c r="AC13">
        <v>1</v>
      </c>
      <c r="AD13">
        <v>8265802191800</v>
      </c>
      <c r="AE13">
        <v>11809888000</v>
      </c>
      <c r="AF13">
        <v>999463860.75</v>
      </c>
      <c r="AG13">
        <v>65153857</v>
      </c>
      <c r="AH13">
        <v>1.4287648949204001E-3</v>
      </c>
      <c r="AI13">
        <v>1.209155309501E-4</v>
      </c>
      <c r="AJ13">
        <v>126865.89209599599</v>
      </c>
      <c r="AK13">
        <v>8.0829280695939396E-3</v>
      </c>
      <c r="AL13">
        <v>33.368516386990301</v>
      </c>
      <c r="AN13" t="s">
        <v>284</v>
      </c>
      <c r="AP13">
        <v>1116</v>
      </c>
      <c r="AQ13" s="2" t="s">
        <v>139</v>
      </c>
      <c r="AR13">
        <v>1</v>
      </c>
      <c r="AS13">
        <v>4224459214.8000002</v>
      </c>
      <c r="AT13">
        <v>5483825614</v>
      </c>
      <c r="AU13">
        <v>830817650</v>
      </c>
      <c r="AV13">
        <v>49541072</v>
      </c>
      <c r="AW13">
        <v>1.2981130448100699</v>
      </c>
      <c r="AX13">
        <v>0.19666840363597399</v>
      </c>
      <c r="AY13">
        <v>85.271857153192002</v>
      </c>
      <c r="AZ13">
        <v>6.4273978291571896E-3</v>
      </c>
      <c r="BA13">
        <v>37.419989718602501</v>
      </c>
      <c r="BC13">
        <v>344</v>
      </c>
      <c r="BD13" t="s">
        <v>173</v>
      </c>
      <c r="BE13">
        <v>2</v>
      </c>
      <c r="BF13">
        <v>195862430.40000001</v>
      </c>
      <c r="BG13">
        <v>293233807</v>
      </c>
      <c r="BH13">
        <v>35391666.670000002</v>
      </c>
      <c r="BI13">
        <v>3640814</v>
      </c>
      <c r="BJ13">
        <v>1.49714167439433</v>
      </c>
      <c r="BK13">
        <v>0.18069655623960801</v>
      </c>
      <c r="BL13">
        <v>53.796329721869803</v>
      </c>
      <c r="BM13">
        <v>2.8845907235371198E-3</v>
      </c>
      <c r="BN13">
        <v>55.857198942036803</v>
      </c>
    </row>
    <row r="14" spans="1:66" x14ac:dyDescent="0.4">
      <c r="A14">
        <v>584</v>
      </c>
      <c r="B14" t="s">
        <v>40</v>
      </c>
      <c r="C14">
        <v>3</v>
      </c>
      <c r="D14">
        <v>279712484100</v>
      </c>
      <c r="E14">
        <v>382012631</v>
      </c>
      <c r="F14">
        <v>57875000</v>
      </c>
      <c r="G14">
        <v>3472481</v>
      </c>
      <c r="H14">
        <v>1.36573321791181E-3</v>
      </c>
      <c r="I14">
        <v>2.0690889141476099E-4</v>
      </c>
      <c r="J14">
        <v>80551.192101555003</v>
      </c>
      <c r="K14">
        <v>2.4329066224453101E-4</v>
      </c>
      <c r="L14">
        <v>192.33509416869401</v>
      </c>
      <c r="N14">
        <v>994</v>
      </c>
      <c r="O14" t="s">
        <v>65</v>
      </c>
      <c r="P14">
        <v>2</v>
      </c>
      <c r="Q14">
        <v>1045821641600</v>
      </c>
      <c r="R14">
        <v>1818974725</v>
      </c>
      <c r="S14">
        <v>123766155.83</v>
      </c>
      <c r="T14">
        <v>10151316</v>
      </c>
      <c r="U14">
        <v>1.7392781451884599E-3</v>
      </c>
      <c r="V14">
        <v>1.18343464035273E-4</v>
      </c>
      <c r="W14">
        <v>103023.257437754</v>
      </c>
      <c r="X14">
        <v>9.1850332302049705E-4</v>
      </c>
      <c r="Y14">
        <v>98.987621442952204</v>
      </c>
      <c r="AA14">
        <v>889</v>
      </c>
      <c r="AB14" s="2" t="s">
        <v>141</v>
      </c>
      <c r="AC14">
        <v>1</v>
      </c>
      <c r="AD14">
        <v>8329466675200</v>
      </c>
      <c r="AE14">
        <v>11122258000</v>
      </c>
      <c r="AF14">
        <v>850828869.42999995</v>
      </c>
      <c r="AG14">
        <v>122424900</v>
      </c>
      <c r="AH14">
        <v>1.3352905334401699E-3</v>
      </c>
      <c r="AI14">
        <v>1.02146860370213E-4</v>
      </c>
      <c r="AJ14">
        <v>68037.357393798098</v>
      </c>
      <c r="AK14">
        <v>8.1451840282981795E-3</v>
      </c>
      <c r="AL14">
        <v>33.240749246760302</v>
      </c>
      <c r="AN14" t="s">
        <v>285</v>
      </c>
      <c r="AP14">
        <v>600</v>
      </c>
      <c r="AQ14" s="2" t="s">
        <v>102</v>
      </c>
      <c r="AR14">
        <v>1</v>
      </c>
      <c r="AS14">
        <v>4570782110</v>
      </c>
      <c r="AT14">
        <v>8207779513</v>
      </c>
      <c r="AU14">
        <v>1601147239.73</v>
      </c>
      <c r="AV14">
        <v>84230078</v>
      </c>
      <c r="AW14">
        <v>1.7957057053852801</v>
      </c>
      <c r="AX14">
        <v>0.35030049588821899</v>
      </c>
      <c r="AY14">
        <v>54.2654384102553</v>
      </c>
      <c r="AZ14">
        <v>6.9543185334682801E-3</v>
      </c>
      <c r="BA14">
        <v>35.9744336220487</v>
      </c>
      <c r="BC14">
        <v>816</v>
      </c>
      <c r="BD14" t="s">
        <v>160</v>
      </c>
      <c r="BE14">
        <v>3</v>
      </c>
      <c r="BF14">
        <v>28277826.100000001</v>
      </c>
      <c r="BG14">
        <v>60735326</v>
      </c>
      <c r="BH14">
        <v>8450000</v>
      </c>
      <c r="BI14">
        <v>1819632</v>
      </c>
      <c r="BJ14">
        <v>2.14780746529875</v>
      </c>
      <c r="BK14">
        <v>0.29882070743762001</v>
      </c>
      <c r="BL14">
        <v>15.540409324522701</v>
      </c>
      <c r="BM14">
        <v>4.1646555025008999E-4</v>
      </c>
      <c r="BN14">
        <v>49.001622319878997</v>
      </c>
    </row>
    <row r="15" spans="1:66" x14ac:dyDescent="0.4">
      <c r="A15">
        <v>1030</v>
      </c>
      <c r="B15" t="s">
        <v>121</v>
      </c>
      <c r="C15">
        <v>3</v>
      </c>
      <c r="D15">
        <v>309430000000</v>
      </c>
      <c r="E15">
        <v>240323157</v>
      </c>
      <c r="F15">
        <v>53183333.329999998</v>
      </c>
      <c r="G15">
        <v>4147000</v>
      </c>
      <c r="H15">
        <v>7.7666405002746897E-4</v>
      </c>
      <c r="I15">
        <v>1.7187516830947201E-4</v>
      </c>
      <c r="J15">
        <v>74615.384615384595</v>
      </c>
      <c r="K15">
        <v>2.69138611601659E-4</v>
      </c>
      <c r="L15">
        <v>182.86612025977399</v>
      </c>
      <c r="N15">
        <v>1112</v>
      </c>
      <c r="O15" t="s">
        <v>115</v>
      </c>
      <c r="P15">
        <v>2</v>
      </c>
      <c r="Q15">
        <v>1064213749500</v>
      </c>
      <c r="R15">
        <v>1037481277.5700001</v>
      </c>
      <c r="S15">
        <v>138562500</v>
      </c>
      <c r="T15">
        <v>8753894</v>
      </c>
      <c r="U15">
        <v>9.7488054261415003E-4</v>
      </c>
      <c r="V15" s="1">
        <v>1.3020175699205201E-4</v>
      </c>
      <c r="W15">
        <v>121570.32624566799</v>
      </c>
      <c r="X15">
        <v>9.3465637584665303E-4</v>
      </c>
      <c r="Y15">
        <v>98.1285244100564</v>
      </c>
      <c r="AA15">
        <v>1071</v>
      </c>
      <c r="AB15" t="s">
        <v>206</v>
      </c>
      <c r="AC15">
        <v>1</v>
      </c>
      <c r="AD15">
        <v>1072000000000</v>
      </c>
      <c r="AE15">
        <v>445224238</v>
      </c>
      <c r="AF15">
        <v>102808156.59</v>
      </c>
      <c r="AG15">
        <v>10000000</v>
      </c>
      <c r="AH15">
        <v>4.1532111753731302E-4</v>
      </c>
      <c r="AI15" s="1">
        <v>9.5903131147388E-5</v>
      </c>
      <c r="AJ15">
        <v>107200</v>
      </c>
      <c r="AK15">
        <v>1.0482828755811E-3</v>
      </c>
      <c r="AL15">
        <v>30.885935084734299</v>
      </c>
      <c r="AN15" t="s">
        <v>286</v>
      </c>
      <c r="AP15">
        <v>977</v>
      </c>
      <c r="AQ15" t="s">
        <v>73</v>
      </c>
      <c r="AR15">
        <v>1</v>
      </c>
      <c r="AS15">
        <v>5985653167.6000004</v>
      </c>
      <c r="AT15">
        <v>11809888000</v>
      </c>
      <c r="AU15">
        <v>999463860.75</v>
      </c>
      <c r="AV15">
        <v>65153857</v>
      </c>
      <c r="AW15">
        <v>1.9730324610062999</v>
      </c>
      <c r="AX15">
        <v>0.166976574279318</v>
      </c>
      <c r="AY15">
        <v>91.869513843209603</v>
      </c>
      <c r="AZ15">
        <v>9.1070057063721704E-3</v>
      </c>
      <c r="BA15">
        <v>31.436446632235501</v>
      </c>
      <c r="BC15">
        <v>30</v>
      </c>
      <c r="BD15" t="s">
        <v>31</v>
      </c>
      <c r="BE15">
        <v>2</v>
      </c>
      <c r="BF15">
        <v>272475924.72000003</v>
      </c>
      <c r="BG15">
        <v>1079151408</v>
      </c>
      <c r="BH15">
        <v>119061250</v>
      </c>
      <c r="BI15">
        <v>6351724</v>
      </c>
      <c r="BJ15">
        <v>3.96053856541252</v>
      </c>
      <c r="BK15">
        <v>0.43696062366738903</v>
      </c>
      <c r="BL15">
        <v>42.897947820150797</v>
      </c>
      <c r="BM15">
        <v>4.0129264363223697E-3</v>
      </c>
      <c r="BN15">
        <v>47.357705828065598</v>
      </c>
    </row>
    <row r="16" spans="1:66" x14ac:dyDescent="0.4">
      <c r="A16">
        <v>344</v>
      </c>
      <c r="B16" t="s">
        <v>173</v>
      </c>
      <c r="C16">
        <v>2</v>
      </c>
      <c r="D16">
        <v>353401630400</v>
      </c>
      <c r="E16">
        <v>293233807</v>
      </c>
      <c r="F16">
        <v>35391666.670000002</v>
      </c>
      <c r="G16">
        <v>3640814</v>
      </c>
      <c r="H16">
        <v>8.2974661624537799E-4</v>
      </c>
      <c r="I16">
        <v>1.00145736820573E-4</v>
      </c>
      <c r="J16">
        <v>97066.653336314295</v>
      </c>
      <c r="K16">
        <v>3.0738462380382902E-4</v>
      </c>
      <c r="L16">
        <v>171.11188876675001</v>
      </c>
      <c r="N16">
        <v>1121</v>
      </c>
      <c r="O16" t="s">
        <v>55</v>
      </c>
      <c r="P16">
        <v>2</v>
      </c>
      <c r="Q16">
        <v>1112311475700</v>
      </c>
      <c r="R16">
        <v>1280008464</v>
      </c>
      <c r="S16">
        <v>97459375</v>
      </c>
      <c r="T16">
        <v>3957993</v>
      </c>
      <c r="U16">
        <v>1.1507644144320801E-3</v>
      </c>
      <c r="V16" s="1">
        <v>8.7618780466745404E-5</v>
      </c>
      <c r="W16">
        <v>281029.166979325</v>
      </c>
      <c r="X16">
        <v>9.7689868523015595E-4</v>
      </c>
      <c r="Y16">
        <v>95.983480088725102</v>
      </c>
      <c r="AA16">
        <v>600</v>
      </c>
      <c r="AB16" s="2" t="s">
        <v>102</v>
      </c>
      <c r="AC16">
        <v>1</v>
      </c>
      <c r="AD16">
        <v>10214074862000</v>
      </c>
      <c r="AE16">
        <v>8207779513</v>
      </c>
      <c r="AF16">
        <v>1601147239.73</v>
      </c>
      <c r="AG16">
        <v>84230078</v>
      </c>
      <c r="AH16">
        <v>8.0357542155245598E-4</v>
      </c>
      <c r="AI16">
        <v>1.5675890977525901E-4</v>
      </c>
      <c r="AJ16">
        <v>121263.98436909899</v>
      </c>
      <c r="AK16">
        <v>9.9880967982630998E-3</v>
      </c>
      <c r="AL16">
        <v>30.0178707581317</v>
      </c>
      <c r="AN16" t="s">
        <v>287</v>
      </c>
      <c r="AP16">
        <v>452</v>
      </c>
      <c r="AQ16" t="s">
        <v>237</v>
      </c>
      <c r="AR16">
        <v>1</v>
      </c>
      <c r="AS16">
        <v>912827250</v>
      </c>
      <c r="AT16">
        <v>990953848</v>
      </c>
      <c r="AU16">
        <v>125925547.88</v>
      </c>
      <c r="AV16">
        <v>17559984</v>
      </c>
      <c r="AW16">
        <v>1.08558749533386</v>
      </c>
      <c r="AX16">
        <v>0.13795112698487</v>
      </c>
      <c r="AY16">
        <v>51.983375952962099</v>
      </c>
      <c r="AZ16">
        <v>1.38884140826609E-3</v>
      </c>
      <c r="BA16">
        <v>26.8332743957262</v>
      </c>
      <c r="BC16">
        <v>307</v>
      </c>
      <c r="BD16" t="s">
        <v>58</v>
      </c>
      <c r="BE16">
        <v>2</v>
      </c>
      <c r="BF16">
        <v>293943436.80000001</v>
      </c>
      <c r="BG16">
        <v>788386642</v>
      </c>
      <c r="BH16">
        <v>74575000</v>
      </c>
      <c r="BI16">
        <v>4810112</v>
      </c>
      <c r="BJ16">
        <v>2.6821032324542702</v>
      </c>
      <c r="BK16">
        <v>0.25370527340857402</v>
      </c>
      <c r="BL16">
        <v>61.109478698209102</v>
      </c>
      <c r="BM16">
        <v>4.3290921556842898E-3</v>
      </c>
      <c r="BN16">
        <v>45.5955899422353</v>
      </c>
    </row>
    <row r="17" spans="1:66" x14ac:dyDescent="0.4">
      <c r="A17">
        <v>1094</v>
      </c>
      <c r="B17" t="s">
        <v>82</v>
      </c>
      <c r="C17">
        <v>2</v>
      </c>
      <c r="D17">
        <v>387874472200</v>
      </c>
      <c r="E17">
        <v>599525339</v>
      </c>
      <c r="F17">
        <v>46883333.329999998</v>
      </c>
      <c r="G17">
        <v>4313727</v>
      </c>
      <c r="H17">
        <v>1.54566846227216E-3</v>
      </c>
      <c r="I17">
        <v>1.2087243861159599E-4</v>
      </c>
      <c r="J17">
        <v>89916.323448377705</v>
      </c>
      <c r="K17">
        <v>3.37368700267053E-4</v>
      </c>
      <c r="L17">
        <v>163.33109013321101</v>
      </c>
      <c r="N17">
        <v>6</v>
      </c>
      <c r="O17" t="s">
        <v>122</v>
      </c>
      <c r="P17">
        <v>2</v>
      </c>
      <c r="Q17">
        <v>1180648171700</v>
      </c>
      <c r="R17">
        <v>1360493467.9300001</v>
      </c>
      <c r="S17">
        <v>140262851.38</v>
      </c>
      <c r="T17">
        <v>11148029</v>
      </c>
      <c r="U17">
        <v>1.1523275947406401E-3</v>
      </c>
      <c r="V17">
        <v>1.1880156573489401E-4</v>
      </c>
      <c r="W17">
        <v>105906.449624413</v>
      </c>
      <c r="X17">
        <v>1.0369160723863501E-3</v>
      </c>
      <c r="Y17">
        <v>93.164284219632606</v>
      </c>
      <c r="AA17">
        <v>362</v>
      </c>
      <c r="AB17" t="s">
        <v>71</v>
      </c>
      <c r="AC17">
        <v>1</v>
      </c>
      <c r="AD17">
        <v>1573042160200</v>
      </c>
      <c r="AE17">
        <v>1510488445</v>
      </c>
      <c r="AF17">
        <v>112391108.40000001</v>
      </c>
      <c r="AG17">
        <v>5237698</v>
      </c>
      <c r="AH17">
        <v>9.6023392329672402E-4</v>
      </c>
      <c r="AI17" s="1">
        <v>7.1448249286408394E-5</v>
      </c>
      <c r="AJ17">
        <v>300330.82476309198</v>
      </c>
      <c r="AK17">
        <v>1.5382398872245901E-3</v>
      </c>
      <c r="AL17">
        <v>25.496934347910798</v>
      </c>
      <c r="AN17" t="s">
        <v>289</v>
      </c>
      <c r="AP17">
        <v>336</v>
      </c>
      <c r="AQ17" s="2" t="s">
        <v>189</v>
      </c>
      <c r="AR17">
        <v>1</v>
      </c>
      <c r="AS17">
        <v>939375360</v>
      </c>
      <c r="AT17">
        <v>2435406304</v>
      </c>
      <c r="AU17">
        <v>107782871.25</v>
      </c>
      <c r="AV17">
        <v>16019178</v>
      </c>
      <c r="AW17">
        <v>2.5925805675805602</v>
      </c>
      <c r="AX17">
        <v>0.114738874191888</v>
      </c>
      <c r="AY17">
        <v>58.640671824734</v>
      </c>
      <c r="AZ17">
        <v>1.4292336231996499E-3</v>
      </c>
      <c r="BA17">
        <v>26.451383233558399</v>
      </c>
      <c r="BC17">
        <v>930</v>
      </c>
      <c r="BD17" t="s">
        <v>104</v>
      </c>
      <c r="BE17">
        <v>2</v>
      </c>
      <c r="BF17">
        <v>321168573</v>
      </c>
      <c r="BG17">
        <v>980020087</v>
      </c>
      <c r="BH17">
        <v>71112469.930000007</v>
      </c>
      <c r="BI17">
        <v>5808515</v>
      </c>
      <c r="BJ17">
        <v>3.05141962629077</v>
      </c>
      <c r="BK17">
        <v>0.22141789673175699</v>
      </c>
      <c r="BL17">
        <v>55.292716468839203</v>
      </c>
      <c r="BM17">
        <v>4.7300540715002502E-3</v>
      </c>
      <c r="BN17">
        <v>43.620255193581997</v>
      </c>
    </row>
    <row r="18" spans="1:66" x14ac:dyDescent="0.4">
      <c r="A18">
        <v>932</v>
      </c>
      <c r="B18" t="s">
        <v>56</v>
      </c>
      <c r="C18">
        <v>2</v>
      </c>
      <c r="D18">
        <v>415200000000</v>
      </c>
      <c r="E18">
        <v>511287520</v>
      </c>
      <c r="F18">
        <v>48800000</v>
      </c>
      <c r="G18">
        <v>2000000</v>
      </c>
      <c r="H18">
        <v>1.2314246628131E-3</v>
      </c>
      <c r="I18">
        <v>1.1753371868978799E-4</v>
      </c>
      <c r="J18">
        <v>207600</v>
      </c>
      <c r="K18">
        <v>3.6113612622243801E-4</v>
      </c>
      <c r="L18">
        <v>157.864975710035</v>
      </c>
      <c r="N18">
        <v>80</v>
      </c>
      <c r="O18" t="s">
        <v>92</v>
      </c>
      <c r="P18">
        <v>2</v>
      </c>
      <c r="Q18">
        <v>1352724000000</v>
      </c>
      <c r="R18">
        <v>1236931257</v>
      </c>
      <c r="S18">
        <v>166450000</v>
      </c>
      <c r="T18">
        <v>7731850</v>
      </c>
      <c r="U18">
        <v>9.1440031891206104E-4</v>
      </c>
      <c r="V18">
        <v>1.2304801275056799E-4</v>
      </c>
      <c r="W18">
        <v>174954.76503036101</v>
      </c>
      <c r="X18">
        <v>1.18804339067674E-3</v>
      </c>
      <c r="Y18">
        <v>87.037238512277696</v>
      </c>
      <c r="AA18">
        <v>596</v>
      </c>
      <c r="AB18" t="s">
        <v>131</v>
      </c>
      <c r="AC18">
        <v>1</v>
      </c>
      <c r="AD18">
        <v>1853134478100</v>
      </c>
      <c r="AE18">
        <v>1685441625</v>
      </c>
      <c r="AF18">
        <v>114399844.11</v>
      </c>
      <c r="AG18">
        <v>8282577</v>
      </c>
      <c r="AH18">
        <v>9.0950853535900198E-4</v>
      </c>
      <c r="AI18" s="1">
        <v>6.1733158312014594E-5</v>
      </c>
      <c r="AJ18">
        <v>223738.877175545</v>
      </c>
      <c r="AK18">
        <v>1.81213539136302E-3</v>
      </c>
      <c r="AL18">
        <v>23.4911716812436</v>
      </c>
      <c r="AN18" t="s">
        <v>288</v>
      </c>
      <c r="AP18">
        <v>298</v>
      </c>
      <c r="AQ18" t="s">
        <v>202</v>
      </c>
      <c r="AR18">
        <v>1</v>
      </c>
      <c r="AS18">
        <v>946930742</v>
      </c>
      <c r="AT18">
        <v>1759087683</v>
      </c>
      <c r="AU18">
        <v>130730247.15000001</v>
      </c>
      <c r="AV18">
        <v>23130500</v>
      </c>
      <c r="AW18">
        <v>1.8576730113172299</v>
      </c>
      <c r="AX18">
        <v>0.13805682015760301</v>
      </c>
      <c r="AY18">
        <v>40.9386196580272</v>
      </c>
      <c r="AZ18">
        <v>1.4407289278992701E-3</v>
      </c>
      <c r="BA18">
        <v>26.3456465961366</v>
      </c>
      <c r="BC18">
        <v>1025</v>
      </c>
      <c r="BD18" t="s">
        <v>14</v>
      </c>
      <c r="BE18">
        <v>2</v>
      </c>
      <c r="BF18">
        <v>329105708.29500002</v>
      </c>
      <c r="BG18">
        <v>2145951977.8199999</v>
      </c>
      <c r="BH18">
        <v>118883333.33</v>
      </c>
      <c r="BI18">
        <v>7891400</v>
      </c>
      <c r="BJ18">
        <v>6.5205553222930899</v>
      </c>
      <c r="BK18">
        <v>0.36123145340109603</v>
      </c>
      <c r="BL18">
        <v>41.704350089337701</v>
      </c>
      <c r="BM18">
        <v>4.8469493167836797E-3</v>
      </c>
      <c r="BN18">
        <v>43.091043929729402</v>
      </c>
    </row>
    <row r="19" spans="1:66" x14ac:dyDescent="0.4">
      <c r="A19">
        <v>307</v>
      </c>
      <c r="B19" t="s">
        <v>58</v>
      </c>
      <c r="C19">
        <v>2</v>
      </c>
      <c r="D19">
        <v>518700000000</v>
      </c>
      <c r="E19">
        <v>788386642</v>
      </c>
      <c r="F19">
        <v>74575000</v>
      </c>
      <c r="G19">
        <v>4810112</v>
      </c>
      <c r="H19">
        <v>1.5199279776363899E-3</v>
      </c>
      <c r="I19">
        <v>1.4377289377289301E-4</v>
      </c>
      <c r="J19">
        <v>107835.32691130599</v>
      </c>
      <c r="K19">
        <v>4.51159221270661E-4</v>
      </c>
      <c r="L19">
        <v>141.23955336240701</v>
      </c>
      <c r="N19">
        <v>427</v>
      </c>
      <c r="O19" t="s">
        <v>98</v>
      </c>
      <c r="P19">
        <v>2</v>
      </c>
      <c r="Q19">
        <v>1387750000000</v>
      </c>
      <c r="R19">
        <v>1146422012</v>
      </c>
      <c r="S19">
        <v>257477997.22999999</v>
      </c>
      <c r="T19">
        <v>18528300</v>
      </c>
      <c r="U19">
        <v>8.2610125166636601E-4</v>
      </c>
      <c r="V19" s="1">
        <v>1.8553629776977101E-4</v>
      </c>
      <c r="W19">
        <v>74898.938380747204</v>
      </c>
      <c r="X19">
        <v>1.21880532570697E-3</v>
      </c>
      <c r="Y19">
        <v>85.931834449638998</v>
      </c>
      <c r="AA19">
        <v>298</v>
      </c>
      <c r="AB19" t="s">
        <v>202</v>
      </c>
      <c r="AC19">
        <v>1</v>
      </c>
      <c r="AD19">
        <v>1909949588000</v>
      </c>
      <c r="AE19">
        <v>1759087683</v>
      </c>
      <c r="AF19">
        <v>130730247.15000001</v>
      </c>
      <c r="AG19">
        <v>23130500</v>
      </c>
      <c r="AH19">
        <v>9.2101262465362995E-4</v>
      </c>
      <c r="AI19" s="1">
        <v>6.8446962145683602E-5</v>
      </c>
      <c r="AJ19">
        <v>82572.775685782806</v>
      </c>
      <c r="AK19">
        <v>1.86769351336155E-3</v>
      </c>
      <c r="AL19">
        <v>23.139138990294299</v>
      </c>
      <c r="AN19" t="s">
        <v>290</v>
      </c>
      <c r="AP19">
        <v>352</v>
      </c>
      <c r="AQ19" s="2" t="s">
        <v>153</v>
      </c>
      <c r="AR19">
        <v>1</v>
      </c>
      <c r="AS19">
        <v>1014521600</v>
      </c>
      <c r="AT19">
        <v>2336924681</v>
      </c>
      <c r="AU19">
        <v>94545130.840000004</v>
      </c>
      <c r="AV19">
        <v>11382268</v>
      </c>
      <c r="AW19">
        <v>2.3034745450466501</v>
      </c>
      <c r="AX19">
        <v>9.3191836270415496E-2</v>
      </c>
      <c r="AY19">
        <v>89.131761789478105</v>
      </c>
      <c r="AZ19">
        <v>1.54356654850123E-3</v>
      </c>
      <c r="BA19">
        <v>25.452902911554599</v>
      </c>
      <c r="BC19">
        <v>147</v>
      </c>
      <c r="BD19" t="s">
        <v>86</v>
      </c>
      <c r="BE19">
        <v>2</v>
      </c>
      <c r="BF19">
        <v>388579415.80000001</v>
      </c>
      <c r="BG19">
        <v>605065197</v>
      </c>
      <c r="BH19">
        <v>113750000</v>
      </c>
      <c r="BI19">
        <v>6030593</v>
      </c>
      <c r="BJ19">
        <v>1.5571210733185701</v>
      </c>
      <c r="BK19">
        <v>0.29273295335475602</v>
      </c>
      <c r="BL19">
        <v>64.4346942000562</v>
      </c>
      <c r="BM19">
        <v>5.7228564757672599E-3</v>
      </c>
      <c r="BN19">
        <v>39.6565407185075</v>
      </c>
    </row>
    <row r="20" spans="1:66" x14ac:dyDescent="0.4">
      <c r="A20">
        <v>816</v>
      </c>
      <c r="B20" t="s">
        <v>160</v>
      </c>
      <c r="C20">
        <v>3</v>
      </c>
      <c r="D20">
        <v>61610692100</v>
      </c>
      <c r="E20">
        <v>60735326</v>
      </c>
      <c r="F20">
        <v>8450000</v>
      </c>
      <c r="G20">
        <v>1819632</v>
      </c>
      <c r="H20">
        <v>9.8579197749346504E-4</v>
      </c>
      <c r="I20">
        <v>1.3715151886761501E-4</v>
      </c>
      <c r="J20">
        <v>33858.874816446398</v>
      </c>
      <c r="K20" s="1">
        <v>5.3588262714059101E-5</v>
      </c>
      <c r="L20">
        <v>136.60454877438301</v>
      </c>
      <c r="N20">
        <v>963</v>
      </c>
      <c r="O20" t="s">
        <v>175</v>
      </c>
      <c r="P20">
        <v>2</v>
      </c>
      <c r="Q20">
        <v>1464000000000</v>
      </c>
      <c r="R20">
        <v>1399615448</v>
      </c>
      <c r="S20">
        <v>140750388.27000001</v>
      </c>
      <c r="T20">
        <v>17765625</v>
      </c>
      <c r="U20">
        <v>9.5602148087431697E-4</v>
      </c>
      <c r="V20" s="1">
        <v>9.6140975594262302E-5</v>
      </c>
      <c r="W20">
        <v>82406.332453825802</v>
      </c>
      <c r="X20">
        <v>1.28577265129527E-3</v>
      </c>
      <c r="Y20">
        <v>83.664103690061793</v>
      </c>
      <c r="AA20">
        <v>352</v>
      </c>
      <c r="AB20" s="2" t="s">
        <v>153</v>
      </c>
      <c r="AC20">
        <v>1</v>
      </c>
      <c r="AD20">
        <v>2068204800000</v>
      </c>
      <c r="AE20">
        <v>2336924681</v>
      </c>
      <c r="AF20">
        <v>94545130.840000004</v>
      </c>
      <c r="AG20">
        <v>11382268</v>
      </c>
      <c r="AH20">
        <v>1.1299290481290799E-3</v>
      </c>
      <c r="AI20" s="1">
        <v>4.5713621223584802E-5</v>
      </c>
      <c r="AJ20">
        <v>181704.103259561</v>
      </c>
      <c r="AK20">
        <v>2.0224474580547002E-3</v>
      </c>
      <c r="AL20">
        <v>22.236241194074601</v>
      </c>
      <c r="AN20" t="s">
        <v>291</v>
      </c>
      <c r="AP20">
        <v>596</v>
      </c>
      <c r="AQ20" t="s">
        <v>131</v>
      </c>
      <c r="AR20">
        <v>1</v>
      </c>
      <c r="AS20">
        <v>1096953715.8</v>
      </c>
      <c r="AT20">
        <v>1685441625</v>
      </c>
      <c r="AU20">
        <v>114399844.11</v>
      </c>
      <c r="AV20">
        <v>8282577</v>
      </c>
      <c r="AW20">
        <v>1.5364746941677601</v>
      </c>
      <c r="AX20">
        <v>0.104288670034331</v>
      </c>
      <c r="AY20">
        <v>132.44111292898299</v>
      </c>
      <c r="AZ20">
        <v>1.6689847322748099E-3</v>
      </c>
      <c r="BA20">
        <v>24.4778809423835</v>
      </c>
      <c r="BC20">
        <v>1138</v>
      </c>
      <c r="BD20" t="s">
        <v>33</v>
      </c>
      <c r="BE20">
        <v>3</v>
      </c>
      <c r="BF20">
        <v>43363451.920000002</v>
      </c>
      <c r="BG20">
        <v>83809291</v>
      </c>
      <c r="BH20">
        <v>17900000</v>
      </c>
      <c r="BI20">
        <v>1220625</v>
      </c>
      <c r="BJ20">
        <v>1.9327172374242101</v>
      </c>
      <c r="BK20">
        <v>0.41279001572621998</v>
      </c>
      <c r="BL20">
        <v>35.525613452124901</v>
      </c>
      <c r="BM20">
        <v>6.3864116713717705E-4</v>
      </c>
      <c r="BN20">
        <v>39.570500648710599</v>
      </c>
    </row>
    <row r="21" spans="1:66" x14ac:dyDescent="0.4">
      <c r="A21">
        <v>385</v>
      </c>
      <c r="B21" t="s">
        <v>70</v>
      </c>
      <c r="C21">
        <v>2</v>
      </c>
      <c r="D21">
        <v>557080730500</v>
      </c>
      <c r="E21">
        <v>825558854</v>
      </c>
      <c r="F21">
        <v>88935853.670000002</v>
      </c>
      <c r="G21">
        <v>8804923</v>
      </c>
      <c r="H21">
        <v>1.4819375519577399E-3</v>
      </c>
      <c r="I21">
        <v>1.59646257356948E-4</v>
      </c>
      <c r="J21">
        <v>63269.233643496897</v>
      </c>
      <c r="K21">
        <v>4.8454233382932499E-4</v>
      </c>
      <c r="L21">
        <v>136.287301115594</v>
      </c>
      <c r="N21">
        <v>168</v>
      </c>
      <c r="O21" t="s">
        <v>114</v>
      </c>
      <c r="P21">
        <v>2</v>
      </c>
      <c r="Q21">
        <v>1465824979600</v>
      </c>
      <c r="R21">
        <v>1099616742</v>
      </c>
      <c r="S21">
        <v>163294068.81</v>
      </c>
      <c r="T21">
        <v>7592914</v>
      </c>
      <c r="U21">
        <v>7.5016919298241701E-4</v>
      </c>
      <c r="V21" s="1">
        <v>1.1140079551281699E-4</v>
      </c>
      <c r="W21">
        <v>193051.70315375601</v>
      </c>
      <c r="X21">
        <v>1.28737545789285E-3</v>
      </c>
      <c r="Y21">
        <v>83.612005779932801</v>
      </c>
      <c r="AA21">
        <v>991</v>
      </c>
      <c r="AB21" s="2" t="s">
        <v>133</v>
      </c>
      <c r="AC21">
        <v>1</v>
      </c>
      <c r="AD21">
        <v>2405866859550</v>
      </c>
      <c r="AE21">
        <v>3222417310</v>
      </c>
      <c r="AF21">
        <v>297015140.12</v>
      </c>
      <c r="AG21">
        <v>52738513</v>
      </c>
      <c r="AH21">
        <v>1.3393996834067199E-3</v>
      </c>
      <c r="AI21">
        <v>1.23454520744158E-4</v>
      </c>
      <c r="AJ21">
        <v>45618.784502892602</v>
      </c>
      <c r="AK21">
        <v>2.3526390203305499E-3</v>
      </c>
      <c r="AL21">
        <v>20.616851941124899</v>
      </c>
      <c r="AN21" t="s">
        <v>292</v>
      </c>
      <c r="AP21">
        <v>440</v>
      </c>
      <c r="AQ21" t="s">
        <v>262</v>
      </c>
      <c r="AR21">
        <v>1</v>
      </c>
      <c r="AS21">
        <v>1297175712</v>
      </c>
      <c r="AT21">
        <v>1795385648</v>
      </c>
      <c r="AU21">
        <v>201097540.19</v>
      </c>
      <c r="AV21">
        <v>65450000</v>
      </c>
      <c r="AW21">
        <v>1.3840728217396601</v>
      </c>
      <c r="AX21">
        <v>0.15502721669059399</v>
      </c>
      <c r="AY21">
        <v>19.8193386096256</v>
      </c>
      <c r="AZ21">
        <v>1.97361696051762E-3</v>
      </c>
      <c r="BA21">
        <v>22.509640847409699</v>
      </c>
      <c r="BC21">
        <v>395</v>
      </c>
      <c r="BD21" t="s">
        <v>169</v>
      </c>
      <c r="BE21">
        <v>2</v>
      </c>
      <c r="BF21">
        <v>406711741.5</v>
      </c>
      <c r="BG21">
        <v>736677415</v>
      </c>
      <c r="BH21">
        <v>88237500</v>
      </c>
      <c r="BI21">
        <v>6726400</v>
      </c>
      <c r="BJ21">
        <v>1.8113010759980701</v>
      </c>
      <c r="BK21">
        <v>0.21695341195356099</v>
      </c>
      <c r="BL21">
        <v>60.464994870956197</v>
      </c>
      <c r="BM21">
        <v>5.9899027817053403E-3</v>
      </c>
      <c r="BN21">
        <v>38.762463283573602</v>
      </c>
    </row>
    <row r="22" spans="1:66" x14ac:dyDescent="0.4">
      <c r="A22">
        <v>30</v>
      </c>
      <c r="B22" t="s">
        <v>31</v>
      </c>
      <c r="C22">
        <v>2</v>
      </c>
      <c r="D22">
        <v>591617725800</v>
      </c>
      <c r="E22">
        <v>1079151408</v>
      </c>
      <c r="F22">
        <v>119061250</v>
      </c>
      <c r="G22">
        <v>6351724</v>
      </c>
      <c r="H22">
        <v>1.8240687540941099E-3</v>
      </c>
      <c r="I22">
        <v>2.0124692822379899E-4</v>
      </c>
      <c r="J22">
        <v>93142.857876066395</v>
      </c>
      <c r="K22">
        <v>5.1458221025997195E-4</v>
      </c>
      <c r="L22">
        <v>132.24944882339301</v>
      </c>
      <c r="N22">
        <v>935</v>
      </c>
      <c r="O22" t="s">
        <v>171</v>
      </c>
      <c r="P22">
        <v>2</v>
      </c>
      <c r="Q22">
        <v>1582341384000</v>
      </c>
      <c r="R22">
        <v>1166431157.1199999</v>
      </c>
      <c r="S22">
        <v>168235018.13</v>
      </c>
      <c r="T22">
        <v>15469818</v>
      </c>
      <c r="U22">
        <v>7.3715518592541501E-4</v>
      </c>
      <c r="V22">
        <v>1.06320304727617E-4</v>
      </c>
      <c r="W22">
        <v>102285.714285714</v>
      </c>
      <c r="X22">
        <v>1.38970715612015E-3</v>
      </c>
      <c r="Y22">
        <v>80.474744735805402</v>
      </c>
      <c r="AA22">
        <v>336</v>
      </c>
      <c r="AB22" s="2" t="s">
        <v>189</v>
      </c>
      <c r="AC22">
        <v>1</v>
      </c>
      <c r="AD22">
        <v>2501664000000</v>
      </c>
      <c r="AE22">
        <v>2435406304</v>
      </c>
      <c r="AF22">
        <v>107782871.25</v>
      </c>
      <c r="AG22">
        <v>16019178</v>
      </c>
      <c r="AH22">
        <v>9.7351455031531001E-4</v>
      </c>
      <c r="AI22" s="1">
        <v>4.3084471475785702E-5</v>
      </c>
      <c r="AJ22">
        <v>156166.81455190701</v>
      </c>
      <c r="AK22">
        <v>2.4463167272926602E-3</v>
      </c>
      <c r="AL22">
        <v>20.2182544328133</v>
      </c>
      <c r="AN22" t="s">
        <v>293</v>
      </c>
      <c r="AP22">
        <v>432</v>
      </c>
      <c r="AQ22" s="2" t="s">
        <v>154</v>
      </c>
      <c r="AR22">
        <v>1</v>
      </c>
      <c r="AS22">
        <v>1522364187.52</v>
      </c>
      <c r="AT22">
        <v>4391739000</v>
      </c>
      <c r="AU22">
        <v>226350000</v>
      </c>
      <c r="AV22">
        <v>106557713</v>
      </c>
      <c r="AW22">
        <v>2.8848149713468598</v>
      </c>
      <c r="AX22">
        <v>0.14868321381675001</v>
      </c>
      <c r="AY22">
        <v>14.2867573323387</v>
      </c>
      <c r="AZ22">
        <v>2.3162349963688602E-3</v>
      </c>
      <c r="BA22">
        <v>20.778236752546</v>
      </c>
      <c r="BC22">
        <v>1002</v>
      </c>
      <c r="BD22" t="s">
        <v>127</v>
      </c>
      <c r="BE22">
        <v>3</v>
      </c>
      <c r="BF22">
        <v>48426035.700000003</v>
      </c>
      <c r="BG22">
        <v>155137919</v>
      </c>
      <c r="BH22">
        <v>20350000</v>
      </c>
      <c r="BI22">
        <v>3829272</v>
      </c>
      <c r="BJ22">
        <v>3.2036055968132802</v>
      </c>
      <c r="BK22">
        <v>0.420228492913781</v>
      </c>
      <c r="BL22">
        <v>12.6462773341773</v>
      </c>
      <c r="BM22">
        <v>7.1320106195260202E-4</v>
      </c>
      <c r="BN22">
        <v>37.445015044969999</v>
      </c>
    </row>
    <row r="23" spans="1:66" x14ac:dyDescent="0.4">
      <c r="A23">
        <v>147</v>
      </c>
      <c r="B23" t="s">
        <v>86</v>
      </c>
      <c r="C23">
        <v>2</v>
      </c>
      <c r="D23">
        <v>691588682500</v>
      </c>
      <c r="E23">
        <v>605065197</v>
      </c>
      <c r="F23">
        <v>113750000</v>
      </c>
      <c r="G23">
        <v>6030593</v>
      </c>
      <c r="H23">
        <v>8.7489169836147502E-4</v>
      </c>
      <c r="I23">
        <v>1.64476375739419E-4</v>
      </c>
      <c r="J23">
        <v>114680.045975578</v>
      </c>
      <c r="K23">
        <v>6.0153578453113997E-4</v>
      </c>
      <c r="L23">
        <v>122.31804205526301</v>
      </c>
      <c r="N23">
        <v>180</v>
      </c>
      <c r="O23" t="s">
        <v>44</v>
      </c>
      <c r="P23">
        <v>2</v>
      </c>
      <c r="Q23">
        <v>1635000000000</v>
      </c>
      <c r="R23">
        <v>2473371697.0799999</v>
      </c>
      <c r="S23">
        <v>323983788.23000002</v>
      </c>
      <c r="T23">
        <v>24000000</v>
      </c>
      <c r="U23">
        <v>1.5127655639633E-3</v>
      </c>
      <c r="V23" s="1">
        <v>1.9815522215902101E-4</v>
      </c>
      <c r="W23">
        <v>68125</v>
      </c>
      <c r="X23">
        <v>1.43595511261459E-3</v>
      </c>
      <c r="Y23">
        <v>79.168209449741298</v>
      </c>
      <c r="AA23">
        <v>740</v>
      </c>
      <c r="AB23" s="2" t="s">
        <v>181</v>
      </c>
      <c r="AC23">
        <v>1</v>
      </c>
      <c r="AD23">
        <v>2644656709000</v>
      </c>
      <c r="AE23">
        <v>3473164583.4400001</v>
      </c>
      <c r="AF23">
        <v>225804914.78</v>
      </c>
      <c r="AG23">
        <v>70106125</v>
      </c>
      <c r="AH23">
        <v>1.3132761509728301E-3</v>
      </c>
      <c r="AI23" s="1">
        <v>8.5381559735736495E-5</v>
      </c>
      <c r="AJ23">
        <v>37723.618428489601</v>
      </c>
      <c r="AK23">
        <v>2.5861458393986701E-3</v>
      </c>
      <c r="AL23">
        <v>19.664073728629599</v>
      </c>
      <c r="AN23" t="s">
        <v>294</v>
      </c>
      <c r="AP23">
        <v>391</v>
      </c>
      <c r="AQ23" s="2" t="s">
        <v>156</v>
      </c>
      <c r="AR23">
        <v>1</v>
      </c>
      <c r="AS23">
        <v>1606220189.95</v>
      </c>
      <c r="AT23">
        <v>4574589000</v>
      </c>
      <c r="AU23">
        <v>277106487.06</v>
      </c>
      <c r="AV23">
        <v>112184801</v>
      </c>
      <c r="AW23">
        <v>2.84804600802733</v>
      </c>
      <c r="AX23">
        <v>0.172520859091321</v>
      </c>
      <c r="AY23">
        <v>14.3176274827995</v>
      </c>
      <c r="AZ23">
        <v>2.44381958425934E-3</v>
      </c>
      <c r="BA23">
        <v>20.228581500886801</v>
      </c>
      <c r="BC23">
        <v>1001</v>
      </c>
      <c r="BD23" t="s">
        <v>84</v>
      </c>
      <c r="BE23">
        <v>3</v>
      </c>
      <c r="BF23">
        <v>53705448</v>
      </c>
      <c r="BG23">
        <v>203354857</v>
      </c>
      <c r="BH23">
        <v>25850000</v>
      </c>
      <c r="BI23">
        <v>3840000</v>
      </c>
      <c r="BJ23">
        <v>3.7864846970460002</v>
      </c>
      <c r="BK23">
        <v>0.481329194013985</v>
      </c>
      <c r="BL23">
        <v>13.985793749999999</v>
      </c>
      <c r="BM23">
        <v>7.90954328442793E-4</v>
      </c>
      <c r="BN23">
        <v>35.556933252625697</v>
      </c>
    </row>
    <row r="24" spans="1:66" x14ac:dyDescent="0.4">
      <c r="A24">
        <v>930</v>
      </c>
      <c r="B24" t="s">
        <v>104</v>
      </c>
      <c r="C24">
        <v>2</v>
      </c>
      <c r="D24">
        <v>697021785000</v>
      </c>
      <c r="E24">
        <v>980020087</v>
      </c>
      <c r="F24">
        <v>71112469.930000007</v>
      </c>
      <c r="G24">
        <v>5808515</v>
      </c>
      <c r="H24">
        <v>1.4060106987904199E-3</v>
      </c>
      <c r="I24">
        <v>1.0202331040485299E-4</v>
      </c>
      <c r="J24">
        <v>119999.997417584</v>
      </c>
      <c r="K24">
        <v>6.0626143383321E-4</v>
      </c>
      <c r="L24">
        <v>121.840390870764</v>
      </c>
      <c r="N24">
        <v>1079</v>
      </c>
      <c r="O24" t="s">
        <v>123</v>
      </c>
      <c r="P24">
        <v>1</v>
      </c>
      <c r="Q24">
        <v>1641739889400</v>
      </c>
      <c r="R24">
        <v>1198802546</v>
      </c>
      <c r="S24">
        <v>174638866.38999999</v>
      </c>
      <c r="T24">
        <v>8862236</v>
      </c>
      <c r="U24">
        <v>7.3020248441311899E-4</v>
      </c>
      <c r="V24">
        <v>1.06374260330498E-4</v>
      </c>
      <c r="W24">
        <v>185251.20403022401</v>
      </c>
      <c r="X24">
        <v>1.4418744879310401E-3</v>
      </c>
      <c r="Y24">
        <v>79.005536378878503</v>
      </c>
      <c r="AA24">
        <v>648</v>
      </c>
      <c r="AB24" s="2" t="s">
        <v>137</v>
      </c>
      <c r="AC24">
        <v>1</v>
      </c>
      <c r="AD24">
        <v>26769562325000</v>
      </c>
      <c r="AE24">
        <v>26861222000</v>
      </c>
      <c r="AF24">
        <v>3468701979.8200002</v>
      </c>
      <c r="AG24">
        <v>330973328</v>
      </c>
      <c r="AH24">
        <v>1.00342402590999E-3</v>
      </c>
      <c r="AI24">
        <v>1.2957634262778301E-4</v>
      </c>
      <c r="AJ24">
        <v>80881.328071849901</v>
      </c>
      <c r="AK24">
        <v>2.6177307623226301E-2</v>
      </c>
      <c r="AL24">
        <v>18.542093486518301</v>
      </c>
      <c r="AN24" t="s">
        <v>295</v>
      </c>
      <c r="AP24">
        <v>931</v>
      </c>
      <c r="AQ24" t="s">
        <v>142</v>
      </c>
      <c r="AR24">
        <v>1</v>
      </c>
      <c r="AS24">
        <v>1609087434.5</v>
      </c>
      <c r="AT24">
        <v>3556593738</v>
      </c>
      <c r="AU24">
        <v>260692186.66999999</v>
      </c>
      <c r="AV24">
        <v>39802356</v>
      </c>
      <c r="AW24">
        <v>2.2103172653915801</v>
      </c>
      <c r="AX24">
        <v>0.16201244325234901</v>
      </c>
      <c r="AY24">
        <v>40.426939412832702</v>
      </c>
      <c r="AZ24">
        <v>2.4481820175222199E-3</v>
      </c>
      <c r="BA24">
        <v>20.210550737098401</v>
      </c>
      <c r="BC24">
        <v>405</v>
      </c>
      <c r="BD24" t="s">
        <v>47</v>
      </c>
      <c r="BE24">
        <v>3</v>
      </c>
      <c r="BF24">
        <v>53996824</v>
      </c>
      <c r="BG24">
        <v>326038000</v>
      </c>
      <c r="BH24">
        <v>27200000</v>
      </c>
      <c r="BI24">
        <v>2212877</v>
      </c>
      <c r="BJ24">
        <v>6.0380958702311798</v>
      </c>
      <c r="BK24">
        <v>0.50373333068626402</v>
      </c>
      <c r="BL24">
        <v>24.401186328928301</v>
      </c>
      <c r="BM24">
        <v>7.9524560832196602E-4</v>
      </c>
      <c r="BN24">
        <v>35.460867866547403</v>
      </c>
    </row>
    <row r="25" spans="1:66" x14ac:dyDescent="0.4">
      <c r="A25">
        <v>835</v>
      </c>
      <c r="B25" t="s">
        <v>183</v>
      </c>
      <c r="C25">
        <v>2</v>
      </c>
      <c r="D25">
        <v>808204000000</v>
      </c>
      <c r="E25">
        <v>586248172</v>
      </c>
      <c r="F25">
        <v>73900000</v>
      </c>
      <c r="G25">
        <v>6769750</v>
      </c>
      <c r="H25">
        <v>7.2537152996025704E-4</v>
      </c>
      <c r="I25" s="1">
        <v>9.1437310382032195E-5</v>
      </c>
      <c r="J25">
        <v>119384.615384615</v>
      </c>
      <c r="K25">
        <v>7.0296643005173204E-4</v>
      </c>
      <c r="L25">
        <v>113.149844582169</v>
      </c>
      <c r="N25">
        <v>400</v>
      </c>
      <c r="O25" t="s">
        <v>63</v>
      </c>
      <c r="P25">
        <v>2</v>
      </c>
      <c r="Q25">
        <v>1721497825500</v>
      </c>
      <c r="R25">
        <v>1549773385</v>
      </c>
      <c r="S25">
        <v>178390981.30000001</v>
      </c>
      <c r="T25">
        <v>6319995</v>
      </c>
      <c r="U25">
        <v>9.00247076728009E-4</v>
      </c>
      <c r="V25" s="1">
        <v>1.03625446781024E-4</v>
      </c>
      <c r="W25">
        <v>272389.11193758802</v>
      </c>
      <c r="X25">
        <v>1.5119226935055899E-3</v>
      </c>
      <c r="Y25">
        <v>77.153647386552294</v>
      </c>
      <c r="AA25">
        <v>107</v>
      </c>
      <c r="AB25" s="2" t="s">
        <v>166</v>
      </c>
      <c r="AC25">
        <v>1</v>
      </c>
      <c r="AD25">
        <v>3240750000000</v>
      </c>
      <c r="AE25">
        <v>3504313509.8400002</v>
      </c>
      <c r="AF25">
        <v>362461356.85000002</v>
      </c>
      <c r="AG25">
        <v>59801586</v>
      </c>
      <c r="AH25">
        <v>1.0813279363850899E-3</v>
      </c>
      <c r="AI25">
        <v>1.11844899128288E-4</v>
      </c>
      <c r="AJ25">
        <v>54191.7065544047</v>
      </c>
      <c r="AK25">
        <v>3.1690510532084602E-3</v>
      </c>
      <c r="AL25">
        <v>17.763779846323299</v>
      </c>
      <c r="AN25" t="s">
        <v>296</v>
      </c>
      <c r="AP25">
        <v>740</v>
      </c>
      <c r="AQ25" s="2" t="s">
        <v>181</v>
      </c>
      <c r="AR25">
        <v>1</v>
      </c>
      <c r="AS25">
        <v>1783372036.3469999</v>
      </c>
      <c r="AT25">
        <v>3473164583.4400001</v>
      </c>
      <c r="AU25">
        <v>225804914.78</v>
      </c>
      <c r="AV25">
        <v>70106125</v>
      </c>
      <c r="AW25">
        <v>1.9475266588536999</v>
      </c>
      <c r="AX25">
        <v>0.126616830463783</v>
      </c>
      <c r="AY25">
        <v>25.4381772826126</v>
      </c>
      <c r="AZ25">
        <v>2.7133512177934501E-3</v>
      </c>
      <c r="BA25">
        <v>19.197602437058499</v>
      </c>
      <c r="BC25">
        <v>688</v>
      </c>
      <c r="BD25" t="s">
        <v>155</v>
      </c>
      <c r="BE25">
        <v>3</v>
      </c>
      <c r="BF25">
        <v>54229840.200000003</v>
      </c>
      <c r="BG25">
        <v>55392502</v>
      </c>
      <c r="BH25">
        <v>14425000</v>
      </c>
      <c r="BI25">
        <v>840000</v>
      </c>
      <c r="BJ25">
        <v>1.0214395210406599</v>
      </c>
      <c r="BK25">
        <v>0.26599746462096302</v>
      </c>
      <c r="BL25">
        <v>64.559333571428496</v>
      </c>
      <c r="BM25">
        <v>7.9867738626723697E-4</v>
      </c>
      <c r="BN25">
        <v>35.384601258609301</v>
      </c>
    </row>
    <row r="26" spans="1:66" x14ac:dyDescent="0.4">
      <c r="A26">
        <v>46</v>
      </c>
      <c r="B26" t="s">
        <v>110</v>
      </c>
      <c r="C26">
        <v>2</v>
      </c>
      <c r="D26">
        <v>876400371000</v>
      </c>
      <c r="E26">
        <v>661803710</v>
      </c>
      <c r="F26">
        <v>103075000</v>
      </c>
      <c r="G26">
        <v>4666791</v>
      </c>
      <c r="H26">
        <v>7.5513855527566804E-4</v>
      </c>
      <c r="I26">
        <v>1.1761177129853099E-4</v>
      </c>
      <c r="J26">
        <v>187795.07610261501</v>
      </c>
      <c r="K26">
        <v>7.6228283960223396E-4</v>
      </c>
      <c r="L26">
        <v>108.658369332991</v>
      </c>
      <c r="N26">
        <v>284</v>
      </c>
      <c r="O26" s="2" t="s">
        <v>35</v>
      </c>
      <c r="P26">
        <v>1</v>
      </c>
      <c r="Q26">
        <v>1786900351500</v>
      </c>
      <c r="R26">
        <v>3177905489</v>
      </c>
      <c r="S26">
        <v>258760282.28</v>
      </c>
      <c r="T26">
        <v>12295510</v>
      </c>
      <c r="U26">
        <v>1.7784458357357901E-3</v>
      </c>
      <c r="V26">
        <v>1.4480957601400901E-4</v>
      </c>
      <c r="W26">
        <v>145329.502517585</v>
      </c>
      <c r="X26">
        <v>1.56936311649495E-3</v>
      </c>
      <c r="Y26">
        <v>75.728531279803605</v>
      </c>
      <c r="AA26">
        <v>48</v>
      </c>
      <c r="AB26" t="s">
        <v>205</v>
      </c>
      <c r="AC26">
        <v>1</v>
      </c>
      <c r="AD26">
        <v>29265695073000</v>
      </c>
      <c r="AE26">
        <v>21697159000</v>
      </c>
      <c r="AF26">
        <v>2398063114.04</v>
      </c>
      <c r="AG26">
        <v>353000898</v>
      </c>
      <c r="AH26">
        <v>7.4138539836073796E-4</v>
      </c>
      <c r="AI26" s="1">
        <v>8.1941095472302895E-5</v>
      </c>
      <c r="AJ26">
        <v>82905.440860946401</v>
      </c>
      <c r="AK26">
        <v>2.8618215472951701E-2</v>
      </c>
      <c r="AL26">
        <v>17.7337254325084</v>
      </c>
      <c r="AN26" t="s">
        <v>297</v>
      </c>
      <c r="AP26">
        <v>991</v>
      </c>
      <c r="AQ26" s="2" t="s">
        <v>133</v>
      </c>
      <c r="AR26">
        <v>1</v>
      </c>
      <c r="AS26">
        <v>1863898154</v>
      </c>
      <c r="AT26">
        <v>3222417310</v>
      </c>
      <c r="AU26">
        <v>297015140.12</v>
      </c>
      <c r="AV26">
        <v>52738513</v>
      </c>
      <c r="AW26">
        <v>1.72885911340411</v>
      </c>
      <c r="AX26">
        <v>0.15935159304846799</v>
      </c>
      <c r="AY26">
        <v>35.342258398525502</v>
      </c>
      <c r="AZ26">
        <v>2.8358694781142201E-3</v>
      </c>
      <c r="BA26">
        <v>18.778326279321799</v>
      </c>
      <c r="BC26">
        <v>348</v>
      </c>
      <c r="BD26" t="s">
        <v>120</v>
      </c>
      <c r="BE26">
        <v>3</v>
      </c>
      <c r="BF26">
        <v>54774003.75</v>
      </c>
      <c r="BG26">
        <v>95346630</v>
      </c>
      <c r="BH26">
        <v>21438194.129999999</v>
      </c>
      <c r="BI26">
        <v>2574384</v>
      </c>
      <c r="BJ26">
        <v>1.74072778092289</v>
      </c>
      <c r="BK26">
        <v>0.39139359298707399</v>
      </c>
      <c r="BL26">
        <v>21.276547612943499</v>
      </c>
      <c r="BM26">
        <v>8.0669162935209605E-4</v>
      </c>
      <c r="BN26">
        <v>35.208394744891898</v>
      </c>
    </row>
    <row r="27" spans="1:66" x14ac:dyDescent="0.4">
      <c r="A27">
        <v>252</v>
      </c>
      <c r="B27" t="s">
        <v>119</v>
      </c>
      <c r="C27">
        <v>3</v>
      </c>
      <c r="D27">
        <v>103246379600</v>
      </c>
      <c r="E27">
        <v>180678813</v>
      </c>
      <c r="F27">
        <v>8000000</v>
      </c>
      <c r="G27">
        <v>1182050</v>
      </c>
      <c r="H27">
        <v>1.7499772263200901E-3</v>
      </c>
      <c r="I27" s="1">
        <v>7.7484557143735395E-5</v>
      </c>
      <c r="J27">
        <v>87345.188105410096</v>
      </c>
      <c r="K27" s="1">
        <v>8.9802498976963702E-5</v>
      </c>
      <c r="L27">
        <v>105.52510401894099</v>
      </c>
      <c r="N27">
        <v>49</v>
      </c>
      <c r="O27" t="s">
        <v>88</v>
      </c>
      <c r="P27">
        <v>2</v>
      </c>
      <c r="Q27">
        <v>1943352200000</v>
      </c>
      <c r="R27">
        <v>2640619982</v>
      </c>
      <c r="S27">
        <v>228625000</v>
      </c>
      <c r="T27">
        <v>16771307</v>
      </c>
      <c r="U27">
        <v>1.35879640448087E-3</v>
      </c>
      <c r="V27" s="1">
        <v>1.1764465545668899E-4</v>
      </c>
      <c r="W27">
        <v>115873.628692146</v>
      </c>
      <c r="X27">
        <v>1.70676851816564E-3</v>
      </c>
      <c r="Y27">
        <v>72.616270954561898</v>
      </c>
      <c r="AA27">
        <v>522</v>
      </c>
      <c r="AB27" t="s">
        <v>194</v>
      </c>
      <c r="AC27">
        <v>1</v>
      </c>
      <c r="AD27">
        <v>3730574254800</v>
      </c>
      <c r="AE27">
        <v>4189546066</v>
      </c>
      <c r="AF27">
        <v>178647829.02000001</v>
      </c>
      <c r="AG27">
        <v>36346848</v>
      </c>
      <c r="AH27">
        <v>1.12302980180851E-3</v>
      </c>
      <c r="AI27" s="1">
        <v>4.7887487774875399E-5</v>
      </c>
      <c r="AJ27">
        <v>102638.178001019</v>
      </c>
      <c r="AK27">
        <v>3.6480383464464398E-3</v>
      </c>
      <c r="AL27">
        <v>16.556567445240301</v>
      </c>
      <c r="AN27" t="s">
        <v>298</v>
      </c>
      <c r="AP27">
        <v>648</v>
      </c>
      <c r="AQ27" s="2" t="s">
        <v>137</v>
      </c>
      <c r="AR27">
        <v>1</v>
      </c>
      <c r="AS27">
        <v>17957056975</v>
      </c>
      <c r="AT27">
        <v>26861222000</v>
      </c>
      <c r="AU27">
        <v>3468701979.8200002</v>
      </c>
      <c r="AV27">
        <v>330973328</v>
      </c>
      <c r="AW27">
        <v>1.4958588168092599</v>
      </c>
      <c r="AX27">
        <v>0.19316650744323799</v>
      </c>
      <c r="AY27">
        <v>54.2552993122152</v>
      </c>
      <c r="AZ27">
        <v>2.7321165420372301E-2</v>
      </c>
      <c r="BA27">
        <v>18.149791666096998</v>
      </c>
      <c r="BC27">
        <v>970</v>
      </c>
      <c r="BD27" t="s">
        <v>130</v>
      </c>
      <c r="BE27">
        <v>2</v>
      </c>
      <c r="BF27">
        <v>520647696.39999998</v>
      </c>
      <c r="BG27">
        <v>976565768</v>
      </c>
      <c r="BH27">
        <v>86123485.189999998</v>
      </c>
      <c r="BI27">
        <v>12802906</v>
      </c>
      <c r="BJ27">
        <v>1.87567480803704</v>
      </c>
      <c r="BK27">
        <v>0.165416049634902</v>
      </c>
      <c r="BL27">
        <v>40.666368744720899</v>
      </c>
      <c r="BM27">
        <v>7.6679101356970196E-3</v>
      </c>
      <c r="BN27">
        <v>34.259636243029597</v>
      </c>
    </row>
    <row r="28" spans="1:66" x14ac:dyDescent="0.4">
      <c r="A28">
        <v>1063</v>
      </c>
      <c r="B28" t="s">
        <v>112</v>
      </c>
      <c r="C28">
        <v>2</v>
      </c>
      <c r="D28">
        <v>948621810300</v>
      </c>
      <c r="E28">
        <v>1140429329</v>
      </c>
      <c r="F28">
        <v>135569088.06</v>
      </c>
      <c r="G28">
        <v>14006286</v>
      </c>
      <c r="H28">
        <v>1.20219598223167E-3</v>
      </c>
      <c r="I28">
        <v>1.4291162883670801E-4</v>
      </c>
      <c r="J28">
        <v>67728.290733175003</v>
      </c>
      <c r="K28">
        <v>8.2510020670004396E-4</v>
      </c>
      <c r="L28">
        <v>104.44025097031199</v>
      </c>
      <c r="N28">
        <v>22</v>
      </c>
      <c r="O28" t="s">
        <v>144</v>
      </c>
      <c r="P28">
        <v>2</v>
      </c>
      <c r="Q28">
        <v>2134812970350</v>
      </c>
      <c r="R28">
        <v>2648970036</v>
      </c>
      <c r="S28">
        <v>221633333.33000001</v>
      </c>
      <c r="T28">
        <v>27508525</v>
      </c>
      <c r="U28">
        <v>1.2408440799222299E-3</v>
      </c>
      <c r="V28">
        <v>1.0381861849643101E-4</v>
      </c>
      <c r="W28">
        <v>77605.504851677804</v>
      </c>
      <c r="X28">
        <v>1.8749208558104199E-3</v>
      </c>
      <c r="Y28">
        <v>69.283494554459693</v>
      </c>
      <c r="AA28">
        <v>659</v>
      </c>
      <c r="AB28" t="s">
        <v>172</v>
      </c>
      <c r="AC28">
        <v>1</v>
      </c>
      <c r="AD28">
        <v>3867208434000</v>
      </c>
      <c r="AE28">
        <v>2473023894</v>
      </c>
      <c r="AF28">
        <v>438489611.39999998</v>
      </c>
      <c r="AG28">
        <v>36792090</v>
      </c>
      <c r="AH28">
        <v>6.3948554524692505E-4</v>
      </c>
      <c r="AI28">
        <v>1.13386598856388E-4</v>
      </c>
      <c r="AJ28">
        <v>105109.77859643201</v>
      </c>
      <c r="AK28">
        <v>3.7816496060308E-3</v>
      </c>
      <c r="AL28">
        <v>16.261453323549699</v>
      </c>
      <c r="AN28" t="s">
        <v>299</v>
      </c>
      <c r="AP28">
        <v>107</v>
      </c>
      <c r="AQ28" s="2" t="s">
        <v>166</v>
      </c>
      <c r="AR28">
        <v>1</v>
      </c>
      <c r="AS28">
        <v>2170753240</v>
      </c>
      <c r="AT28">
        <v>3504313509.8400002</v>
      </c>
      <c r="AU28">
        <v>362461356.85000002</v>
      </c>
      <c r="AV28">
        <v>59801586</v>
      </c>
      <c r="AW28">
        <v>1.61433065963775</v>
      </c>
      <c r="AX28">
        <v>0.16697492380571</v>
      </c>
      <c r="AY28">
        <v>36.299258685212799</v>
      </c>
      <c r="AZ28">
        <v>3.3027410025717298E-3</v>
      </c>
      <c r="BA28">
        <v>17.400540591525999</v>
      </c>
      <c r="BC28">
        <v>252</v>
      </c>
      <c r="BD28" t="s">
        <v>119</v>
      </c>
      <c r="BE28">
        <v>3</v>
      </c>
      <c r="BF28">
        <v>59053172.799999997</v>
      </c>
      <c r="BG28">
        <v>180678813</v>
      </c>
      <c r="BH28">
        <v>8000000</v>
      </c>
      <c r="BI28">
        <v>1182050</v>
      </c>
      <c r="BJ28">
        <v>3.0595953516658398</v>
      </c>
      <c r="BK28">
        <v>0.13547112916513701</v>
      </c>
      <c r="BL28">
        <v>49.958269785542001</v>
      </c>
      <c r="BM28">
        <v>8.69713676616946E-4</v>
      </c>
      <c r="BN28">
        <v>33.908755450306103</v>
      </c>
    </row>
    <row r="29" spans="1:66" x14ac:dyDescent="0.4">
      <c r="A29">
        <v>688</v>
      </c>
      <c r="B29" t="s">
        <v>155</v>
      </c>
      <c r="C29">
        <v>3</v>
      </c>
      <c r="D29">
        <v>110160000000</v>
      </c>
      <c r="E29">
        <v>55392502</v>
      </c>
      <c r="F29">
        <v>14425000</v>
      </c>
      <c r="G29">
        <v>840000</v>
      </c>
      <c r="H29">
        <v>5.0283680101670196E-4</v>
      </c>
      <c r="I29">
        <v>1.30945896877269E-4</v>
      </c>
      <c r="J29">
        <v>131142.85714285701</v>
      </c>
      <c r="K29" s="1">
        <v>9.5815885512196003E-5</v>
      </c>
      <c r="L29">
        <v>102.16008396241</v>
      </c>
      <c r="N29">
        <v>1089</v>
      </c>
      <c r="O29" t="s">
        <v>107</v>
      </c>
      <c r="P29">
        <v>2</v>
      </c>
      <c r="Q29">
        <v>2180212882800</v>
      </c>
      <c r="R29">
        <v>1947141685</v>
      </c>
      <c r="S29">
        <v>251102269.18000001</v>
      </c>
      <c r="T29">
        <v>12559609</v>
      </c>
      <c r="U29">
        <v>8.9309704587165199E-4</v>
      </c>
      <c r="V29">
        <v>1.15173280169556E-4</v>
      </c>
      <c r="W29">
        <v>173589.23218071499</v>
      </c>
      <c r="X29">
        <v>1.9147937832690301E-3</v>
      </c>
      <c r="Y29">
        <v>68.558333185501894</v>
      </c>
      <c r="AA29">
        <v>324</v>
      </c>
      <c r="AB29" s="2" t="s">
        <v>161</v>
      </c>
      <c r="AC29">
        <v>1</v>
      </c>
      <c r="AD29">
        <v>4565269150000</v>
      </c>
      <c r="AE29">
        <v>3408732262</v>
      </c>
      <c r="AF29">
        <v>705045768.53999996</v>
      </c>
      <c r="AG29">
        <v>116440114</v>
      </c>
      <c r="AH29">
        <v>7.4666622054474002E-4</v>
      </c>
      <c r="AI29">
        <v>1.5443684597215901E-4</v>
      </c>
      <c r="AJ29">
        <v>39207.013744421398</v>
      </c>
      <c r="AK29">
        <v>4.4642662988467396E-3</v>
      </c>
      <c r="AL29">
        <v>14.9666620925743</v>
      </c>
      <c r="AN29" t="s">
        <v>300</v>
      </c>
      <c r="AP29">
        <v>170</v>
      </c>
      <c r="AQ29" s="2" t="s">
        <v>186</v>
      </c>
      <c r="AR29">
        <v>1</v>
      </c>
      <c r="AS29">
        <v>2267985258</v>
      </c>
      <c r="AT29">
        <v>5728709146</v>
      </c>
      <c r="AU29">
        <v>290856349.63</v>
      </c>
      <c r="AV29">
        <v>88501032</v>
      </c>
      <c r="AW29">
        <v>2.5259022852078798</v>
      </c>
      <c r="AX29">
        <v>0.12824437398966501</v>
      </c>
      <c r="AY29">
        <v>25.626653234958798</v>
      </c>
      <c r="AZ29">
        <v>3.4506768281155802E-3</v>
      </c>
      <c r="BA29">
        <v>17.023460848235501</v>
      </c>
      <c r="BC29">
        <v>6</v>
      </c>
      <c r="BD29" t="s">
        <v>122</v>
      </c>
      <c r="BE29">
        <v>2</v>
      </c>
      <c r="BF29">
        <v>545152814</v>
      </c>
      <c r="BG29">
        <v>1360493467.9300001</v>
      </c>
      <c r="BH29">
        <v>140262851.38</v>
      </c>
      <c r="BI29">
        <v>11148029</v>
      </c>
      <c r="BJ29">
        <v>2.4956185366586001</v>
      </c>
      <c r="BK29">
        <v>0.25729088757854202</v>
      </c>
      <c r="BL29">
        <v>48.901273399988398</v>
      </c>
      <c r="BM29">
        <v>8.0288126056795792E-3</v>
      </c>
      <c r="BN29">
        <v>33.480782065597097</v>
      </c>
    </row>
    <row r="30" spans="1:66" x14ac:dyDescent="0.4">
      <c r="A30">
        <v>135</v>
      </c>
      <c r="B30" t="s">
        <v>108</v>
      </c>
      <c r="C30">
        <v>3</v>
      </c>
      <c r="D30">
        <v>110706750000</v>
      </c>
      <c r="E30">
        <v>47831567</v>
      </c>
      <c r="F30">
        <v>14750000</v>
      </c>
      <c r="G30">
        <v>513044</v>
      </c>
      <c r="H30">
        <v>4.3205646448838899E-4</v>
      </c>
      <c r="I30">
        <v>1.3323487501891199E-4</v>
      </c>
      <c r="J30">
        <v>215784.123778857</v>
      </c>
      <c r="K30" s="1">
        <v>9.6291442296907206E-5</v>
      </c>
      <c r="L30">
        <v>101.907501526852</v>
      </c>
      <c r="N30">
        <v>623</v>
      </c>
      <c r="O30" s="2" t="s">
        <v>187</v>
      </c>
      <c r="P30">
        <v>2</v>
      </c>
      <c r="Q30">
        <v>2213442163100</v>
      </c>
      <c r="R30">
        <v>1607455021</v>
      </c>
      <c r="S30">
        <v>202904612.38</v>
      </c>
      <c r="T30">
        <v>19900131</v>
      </c>
      <c r="U30">
        <v>7.2622409015137999E-4</v>
      </c>
      <c r="V30" s="1">
        <v>9.1669263269036704E-5</v>
      </c>
      <c r="W30">
        <v>111227.517200766</v>
      </c>
      <c r="X30">
        <v>1.94397773124169E-3</v>
      </c>
      <c r="Y30">
        <v>68.0417714585097</v>
      </c>
      <c r="AA30">
        <v>384</v>
      </c>
      <c r="AB30" s="2" t="s">
        <v>193</v>
      </c>
      <c r="AC30">
        <v>1</v>
      </c>
      <c r="AD30">
        <v>4828560000000</v>
      </c>
      <c r="AE30">
        <v>4288426206.1399999</v>
      </c>
      <c r="AF30">
        <v>491961820.27999997</v>
      </c>
      <c r="AG30">
        <v>98112427</v>
      </c>
      <c r="AH30">
        <v>8.8813770692297404E-4</v>
      </c>
      <c r="AI30">
        <v>1.0188582523153901E-4</v>
      </c>
      <c r="AJ30">
        <v>49214.560760993103</v>
      </c>
      <c r="AK30">
        <v>4.72173205383946E-3</v>
      </c>
      <c r="AL30">
        <v>14.552892819562601</v>
      </c>
      <c r="AN30" t="s">
        <v>301</v>
      </c>
      <c r="AP30">
        <v>324</v>
      </c>
      <c r="AQ30" s="2" t="s">
        <v>161</v>
      </c>
      <c r="AR30">
        <v>1</v>
      </c>
      <c r="AS30">
        <v>2636966800</v>
      </c>
      <c r="AT30">
        <v>3408732262</v>
      </c>
      <c r="AU30">
        <v>705045768.53999996</v>
      </c>
      <c r="AV30">
        <v>116440114</v>
      </c>
      <c r="AW30">
        <v>1.2926716642773</v>
      </c>
      <c r="AX30">
        <v>0.26736998301988402</v>
      </c>
      <c r="AY30">
        <v>22.646549452880102</v>
      </c>
      <c r="AZ30">
        <v>4.0120720367002004E-3</v>
      </c>
      <c r="BA30">
        <v>15.787582713939001</v>
      </c>
      <c r="BC30">
        <v>1054</v>
      </c>
      <c r="BD30" t="s">
        <v>64</v>
      </c>
      <c r="BE30">
        <v>3</v>
      </c>
      <c r="BF30">
        <v>61196816</v>
      </c>
      <c r="BG30">
        <v>238723524</v>
      </c>
      <c r="BH30">
        <v>19825000</v>
      </c>
      <c r="BI30">
        <v>3542306</v>
      </c>
      <c r="BJ30">
        <v>3.9009141259898201</v>
      </c>
      <c r="BK30">
        <v>0.32395476261379302</v>
      </c>
      <c r="BL30">
        <v>17.2759823685474</v>
      </c>
      <c r="BM30">
        <v>9.0128447494036701E-4</v>
      </c>
      <c r="BN30">
        <v>33.309572191167099</v>
      </c>
    </row>
    <row r="31" spans="1:66" x14ac:dyDescent="0.4">
      <c r="A31">
        <v>802</v>
      </c>
      <c r="B31" t="s">
        <v>165</v>
      </c>
      <c r="C31">
        <v>2</v>
      </c>
      <c r="D31">
        <v>999978000000</v>
      </c>
      <c r="E31">
        <v>852690951</v>
      </c>
      <c r="F31">
        <v>78260707.75</v>
      </c>
      <c r="G31">
        <v>6590878</v>
      </c>
      <c r="H31">
        <v>8.5270971061363304E-4</v>
      </c>
      <c r="I31" s="1">
        <v>7.8262429523449499E-5</v>
      </c>
      <c r="J31">
        <v>151721.515707012</v>
      </c>
      <c r="K31">
        <v>8.6976922260997402E-4</v>
      </c>
      <c r="L31">
        <v>101.723018031392</v>
      </c>
      <c r="N31">
        <v>603</v>
      </c>
      <c r="O31" s="2" t="s">
        <v>75</v>
      </c>
      <c r="P31">
        <v>1</v>
      </c>
      <c r="Q31">
        <v>2355094187800</v>
      </c>
      <c r="R31">
        <v>3229719440</v>
      </c>
      <c r="S31">
        <v>351829593.38</v>
      </c>
      <c r="T31">
        <v>29217968</v>
      </c>
      <c r="U31">
        <v>1.3713759121528001E-3</v>
      </c>
      <c r="V31" s="1">
        <v>1.4939088007713999E-4</v>
      </c>
      <c r="W31">
        <v>80604.311285439093</v>
      </c>
      <c r="X31">
        <v>2.0683850395475998E-3</v>
      </c>
      <c r="Y31">
        <v>65.963783979264505</v>
      </c>
      <c r="AA31">
        <v>1028</v>
      </c>
      <c r="AB31" s="2" t="s">
        <v>97</v>
      </c>
      <c r="AC31">
        <v>1</v>
      </c>
      <c r="AD31">
        <v>5002732800000</v>
      </c>
      <c r="AE31">
        <v>10221942955</v>
      </c>
      <c r="AF31">
        <v>480697916.67000002</v>
      </c>
      <c r="AG31">
        <v>135250245</v>
      </c>
      <c r="AH31">
        <v>2.0432718203538601E-3</v>
      </c>
      <c r="AI31" s="1">
        <v>9.6087065987214001E-5</v>
      </c>
      <c r="AJ31">
        <v>36988.7152514954</v>
      </c>
      <c r="AK31">
        <v>4.8920514228991702E-3</v>
      </c>
      <c r="AL31">
        <v>14.2973152486607</v>
      </c>
      <c r="AN31" t="s">
        <v>302</v>
      </c>
      <c r="AP31">
        <v>1008</v>
      </c>
      <c r="AQ31" s="2" t="s">
        <v>99</v>
      </c>
      <c r="AR31">
        <v>1</v>
      </c>
      <c r="AS31">
        <v>2749353711.5</v>
      </c>
      <c r="AT31">
        <v>6530126000</v>
      </c>
      <c r="AU31">
        <v>823546623.80999994</v>
      </c>
      <c r="AV31">
        <v>139343243</v>
      </c>
      <c r="AW31">
        <v>2.3751494661038999</v>
      </c>
      <c r="AX31">
        <v>0.29954189610644399</v>
      </c>
      <c r="AY31">
        <v>19.730800376879401</v>
      </c>
      <c r="AZ31">
        <v>4.18306561345674E-3</v>
      </c>
      <c r="BA31">
        <v>15.4615369131312</v>
      </c>
      <c r="BC31">
        <v>168</v>
      </c>
      <c r="BD31" t="s">
        <v>114</v>
      </c>
      <c r="BE31">
        <v>2</v>
      </c>
      <c r="BF31">
        <v>555701904.79999995</v>
      </c>
      <c r="BG31">
        <v>1099616742</v>
      </c>
      <c r="BH31">
        <v>163294068.81</v>
      </c>
      <c r="BI31">
        <v>7592914</v>
      </c>
      <c r="BJ31">
        <v>1.97878886594019</v>
      </c>
      <c r="BK31">
        <v>0.29385191484771001</v>
      </c>
      <c r="BL31">
        <v>73.186908846853697</v>
      </c>
      <c r="BM31">
        <v>8.1841757827895798E-3</v>
      </c>
      <c r="BN31">
        <v>33.161470488431398</v>
      </c>
    </row>
    <row r="32" spans="1:66" x14ac:dyDescent="0.4">
      <c r="A32">
        <v>1075</v>
      </c>
      <c r="B32" t="s">
        <v>182</v>
      </c>
      <c r="C32">
        <v>2</v>
      </c>
      <c r="D32">
        <v>1007364771000</v>
      </c>
      <c r="E32">
        <v>907331000</v>
      </c>
      <c r="F32">
        <v>108891209.44</v>
      </c>
      <c r="G32">
        <v>16109633</v>
      </c>
      <c r="H32">
        <v>9.0069756866651405E-4</v>
      </c>
      <c r="I32">
        <v>1.08095113681516E-4</v>
      </c>
      <c r="J32">
        <v>62531.826206096601</v>
      </c>
      <c r="K32">
        <v>8.7619415002864495E-4</v>
      </c>
      <c r="L32">
        <v>101.34937622673</v>
      </c>
      <c r="N32">
        <v>753</v>
      </c>
      <c r="O32" t="s">
        <v>215</v>
      </c>
      <c r="P32">
        <v>2</v>
      </c>
      <c r="Q32">
        <v>288301085000</v>
      </c>
      <c r="R32">
        <v>214552666</v>
      </c>
      <c r="S32">
        <v>21500000</v>
      </c>
      <c r="T32">
        <v>3816768</v>
      </c>
      <c r="U32">
        <v>7.4419652635022103E-4</v>
      </c>
      <c r="V32" s="1">
        <v>7.4574814728844998E-5</v>
      </c>
      <c r="W32">
        <v>75535.396702131198</v>
      </c>
      <c r="X32">
        <v>2.5320331313644399E-4</v>
      </c>
      <c r="Y32">
        <v>62.844215321261302</v>
      </c>
      <c r="AA32">
        <v>1051</v>
      </c>
      <c r="AB32" t="s">
        <v>163</v>
      </c>
      <c r="AC32">
        <v>1</v>
      </c>
      <c r="AD32">
        <v>5016706914000</v>
      </c>
      <c r="AE32">
        <v>3263226247</v>
      </c>
      <c r="AF32">
        <v>475847357.56</v>
      </c>
      <c r="AG32">
        <v>32002270</v>
      </c>
      <c r="AH32">
        <v>6.50471774201796E-4</v>
      </c>
      <c r="AI32" s="1">
        <v>9.4852532890064695E-5</v>
      </c>
      <c r="AJ32">
        <v>156760.97083113101</v>
      </c>
      <c r="AK32">
        <v>4.9057163710406098E-3</v>
      </c>
      <c r="AL32">
        <v>14.277388667154399</v>
      </c>
      <c r="AN32" t="s">
        <v>303</v>
      </c>
      <c r="AP32">
        <v>522</v>
      </c>
      <c r="AQ32" t="s">
        <v>194</v>
      </c>
      <c r="AR32">
        <v>1</v>
      </c>
      <c r="AS32">
        <v>2825567379.5999999</v>
      </c>
      <c r="AT32">
        <v>4189546066</v>
      </c>
      <c r="AU32">
        <v>178647829.02000001</v>
      </c>
      <c r="AV32">
        <v>36346848</v>
      </c>
      <c r="AW32">
        <v>1.4827273616787999</v>
      </c>
      <c r="AX32">
        <v>6.32254712132507E-2</v>
      </c>
      <c r="AY32">
        <v>77.7389934775087</v>
      </c>
      <c r="AZ32">
        <v>4.2990226010829599E-3</v>
      </c>
      <c r="BA32">
        <v>15.2515904908438</v>
      </c>
      <c r="BC32">
        <v>820</v>
      </c>
      <c r="BD32" t="s">
        <v>41</v>
      </c>
      <c r="BE32">
        <v>2</v>
      </c>
      <c r="BF32">
        <v>557653630.79999995</v>
      </c>
      <c r="BG32">
        <v>894728821</v>
      </c>
      <c r="BH32">
        <v>201825000</v>
      </c>
      <c r="BI32">
        <v>6489993</v>
      </c>
      <c r="BJ32">
        <v>1.6044526056728701</v>
      </c>
      <c r="BK32">
        <v>0.36191820307968797</v>
      </c>
      <c r="BL32">
        <v>85.925151352243304</v>
      </c>
      <c r="BM32">
        <v>8.2129200943096003E-3</v>
      </c>
      <c r="BN32">
        <v>33.103388885497203</v>
      </c>
    </row>
    <row r="33" spans="1:66" x14ac:dyDescent="0.4">
      <c r="A33">
        <v>395</v>
      </c>
      <c r="B33" t="s">
        <v>169</v>
      </c>
      <c r="C33">
        <v>2</v>
      </c>
      <c r="D33">
        <v>1014004800000</v>
      </c>
      <c r="E33">
        <v>736677415</v>
      </c>
      <c r="F33">
        <v>88237500</v>
      </c>
      <c r="G33">
        <v>6726400</v>
      </c>
      <c r="H33">
        <v>7.2650288736305702E-4</v>
      </c>
      <c r="I33" s="1">
        <v>8.7018818845827894E-5</v>
      </c>
      <c r="J33">
        <v>150750</v>
      </c>
      <c r="K33">
        <v>8.8196956994932105E-4</v>
      </c>
      <c r="L33">
        <v>101.016997073619</v>
      </c>
      <c r="N33">
        <v>224</v>
      </c>
      <c r="O33" t="s">
        <v>83</v>
      </c>
      <c r="P33">
        <v>2</v>
      </c>
      <c r="Q33">
        <v>300000000000</v>
      </c>
      <c r="R33">
        <v>667132978</v>
      </c>
      <c r="S33">
        <v>24000000</v>
      </c>
      <c r="T33">
        <v>5847970</v>
      </c>
      <c r="U33">
        <v>2.2237765933333302E-3</v>
      </c>
      <c r="V33" s="1">
        <v>8.0000000000000007E-5</v>
      </c>
      <c r="W33">
        <v>51299.852769422498</v>
      </c>
      <c r="X33">
        <v>2.6347800231460498E-4</v>
      </c>
      <c r="Y33">
        <v>61.606681962408103</v>
      </c>
      <c r="AA33">
        <v>1008</v>
      </c>
      <c r="AB33" s="2" t="s">
        <v>99</v>
      </c>
      <c r="AC33">
        <v>1</v>
      </c>
      <c r="AD33">
        <v>5031478324400</v>
      </c>
      <c r="AE33">
        <v>6530126000</v>
      </c>
      <c r="AF33">
        <v>823546623.80999994</v>
      </c>
      <c r="AG33">
        <v>139343243</v>
      </c>
      <c r="AH33">
        <v>1.2978543439872E-3</v>
      </c>
      <c r="AI33">
        <v>1.6367885752706799E-4</v>
      </c>
      <c r="AJ33">
        <v>36108.520342102202</v>
      </c>
      <c r="AK33">
        <v>4.9201609760504E-3</v>
      </c>
      <c r="AL33">
        <v>14.256415488954699</v>
      </c>
      <c r="AN33" t="s">
        <v>304</v>
      </c>
      <c r="AP33">
        <v>659</v>
      </c>
      <c r="AQ33" t="s">
        <v>172</v>
      </c>
      <c r="AR33">
        <v>1</v>
      </c>
      <c r="AS33">
        <v>3056894102.6999998</v>
      </c>
      <c r="AT33">
        <v>2473023894</v>
      </c>
      <c r="AU33">
        <v>438489611.39999998</v>
      </c>
      <c r="AV33">
        <v>36792090</v>
      </c>
      <c r="AW33">
        <v>0.80899887628285905</v>
      </c>
      <c r="AX33">
        <v>0.143442852996675</v>
      </c>
      <c r="AY33">
        <v>83.085633425554207</v>
      </c>
      <c r="AZ33">
        <v>4.6509798108176504E-3</v>
      </c>
      <c r="BA33">
        <v>14.6631667308845</v>
      </c>
      <c r="BC33">
        <v>1063</v>
      </c>
      <c r="BD33" t="s">
        <v>112</v>
      </c>
      <c r="BE33">
        <v>2</v>
      </c>
      <c r="BF33">
        <v>615372283.79999995</v>
      </c>
      <c r="BG33">
        <v>1140429329</v>
      </c>
      <c r="BH33">
        <v>135569088.06</v>
      </c>
      <c r="BI33">
        <v>14006286</v>
      </c>
      <c r="BJ33">
        <v>1.85323479627276</v>
      </c>
      <c r="BK33">
        <v>0.220304182734464</v>
      </c>
      <c r="BL33">
        <v>43.935436117754499</v>
      </c>
      <c r="BM33">
        <v>9.0629794481062106E-3</v>
      </c>
      <c r="BN33">
        <v>31.5127103133978</v>
      </c>
    </row>
    <row r="34" spans="1:66" x14ac:dyDescent="0.4">
      <c r="A34">
        <v>348</v>
      </c>
      <c r="B34" t="s">
        <v>120</v>
      </c>
      <c r="C34">
        <v>3</v>
      </c>
      <c r="D34">
        <v>115383380250</v>
      </c>
      <c r="E34">
        <v>95346630</v>
      </c>
      <c r="F34">
        <v>21438194.129999999</v>
      </c>
      <c r="G34">
        <v>2574384</v>
      </c>
      <c r="H34">
        <v>8.2634630562402798E-4</v>
      </c>
      <c r="I34">
        <v>1.85799671352581E-4</v>
      </c>
      <c r="J34">
        <v>44819.801649637302</v>
      </c>
      <c r="K34">
        <v>1.00359120842812E-4</v>
      </c>
      <c r="L34">
        <v>99.820921764957006</v>
      </c>
      <c r="N34">
        <v>989</v>
      </c>
      <c r="O34" s="2" t="s">
        <v>62</v>
      </c>
      <c r="P34">
        <v>1</v>
      </c>
      <c r="Q34">
        <v>2773189258500</v>
      </c>
      <c r="R34">
        <v>3557258380</v>
      </c>
      <c r="S34">
        <v>346670002.82999998</v>
      </c>
      <c r="T34">
        <v>15953830</v>
      </c>
      <c r="U34">
        <v>1.2827319192502901E-3</v>
      </c>
      <c r="V34" s="1">
        <v>1.25007697100886E-4</v>
      </c>
      <c r="W34">
        <v>173825.92509134099</v>
      </c>
      <c r="X34">
        <v>2.43558121956633E-3</v>
      </c>
      <c r="Y34">
        <v>60.788292763519799</v>
      </c>
      <c r="AA34">
        <v>901</v>
      </c>
      <c r="AB34" t="s">
        <v>203</v>
      </c>
      <c r="AC34">
        <v>1</v>
      </c>
      <c r="AD34">
        <v>5130183491750</v>
      </c>
      <c r="AE34">
        <v>4579168000</v>
      </c>
      <c r="AF34">
        <v>456186761.50999999</v>
      </c>
      <c r="AG34">
        <v>109152840</v>
      </c>
      <c r="AH34">
        <v>8.9259341451702304E-4</v>
      </c>
      <c r="AI34" s="1">
        <v>8.8922114042042994E-5</v>
      </c>
      <c r="AJ34">
        <v>47000.000107647204</v>
      </c>
      <c r="AK34">
        <v>5.0166823721925404E-3</v>
      </c>
      <c r="AL34">
        <v>14.118602059728399</v>
      </c>
      <c r="AN34" t="s">
        <v>305</v>
      </c>
      <c r="AP34">
        <v>1108</v>
      </c>
      <c r="AQ34" s="2" t="s">
        <v>111</v>
      </c>
      <c r="AR34">
        <v>1</v>
      </c>
      <c r="AS34">
        <v>3156632640</v>
      </c>
      <c r="AT34">
        <v>7356945081</v>
      </c>
      <c r="AU34">
        <v>353904180.05000001</v>
      </c>
      <c r="AV34">
        <v>41796270</v>
      </c>
      <c r="AW34">
        <v>2.33063074485601</v>
      </c>
      <c r="AX34">
        <v>0.11211446513142501</v>
      </c>
      <c r="AY34">
        <v>75.524266639104397</v>
      </c>
      <c r="AZ34">
        <v>4.8027292361356704E-3</v>
      </c>
      <c r="BA34">
        <v>14.429655027712901</v>
      </c>
      <c r="BC34">
        <v>330</v>
      </c>
      <c r="BD34" t="s">
        <v>74</v>
      </c>
      <c r="BE34">
        <v>3</v>
      </c>
      <c r="BF34">
        <v>69886931.400000006</v>
      </c>
      <c r="BG34">
        <v>178028974</v>
      </c>
      <c r="BH34">
        <v>28936226.25</v>
      </c>
      <c r="BI34">
        <v>2625000</v>
      </c>
      <c r="BJ34">
        <v>2.5473857620253102</v>
      </c>
      <c r="BK34">
        <v>0.41404345090475603</v>
      </c>
      <c r="BL34">
        <v>26.623592914285702</v>
      </c>
      <c r="BM34">
        <v>1.02926933767342E-3</v>
      </c>
      <c r="BN34">
        <v>31.169905271574201</v>
      </c>
    </row>
    <row r="35" spans="1:66" x14ac:dyDescent="0.4">
      <c r="A35">
        <v>125</v>
      </c>
      <c r="B35" t="s">
        <v>200</v>
      </c>
      <c r="C35">
        <v>2</v>
      </c>
      <c r="D35">
        <v>1040874546250</v>
      </c>
      <c r="E35">
        <v>826890933</v>
      </c>
      <c r="F35">
        <v>88342601</v>
      </c>
      <c r="G35">
        <v>13764630</v>
      </c>
      <c r="H35">
        <v>7.9441940047344996E-4</v>
      </c>
      <c r="I35" s="1">
        <v>8.4873437743554497E-5</v>
      </c>
      <c r="J35">
        <v>75619.507843654297</v>
      </c>
      <c r="K35">
        <v>9.0534056241874496E-4</v>
      </c>
      <c r="L35">
        <v>99.704616036782895</v>
      </c>
      <c r="N35">
        <v>467</v>
      </c>
      <c r="O35" t="s">
        <v>128</v>
      </c>
      <c r="P35">
        <v>2</v>
      </c>
      <c r="Q35">
        <v>320746003200</v>
      </c>
      <c r="R35">
        <v>430273063</v>
      </c>
      <c r="S35">
        <v>41851699.829999998</v>
      </c>
      <c r="T35">
        <v>8715924</v>
      </c>
      <c r="U35">
        <v>1.3414759925526E-3</v>
      </c>
      <c r="V35">
        <v>1.3048237363039999E-4</v>
      </c>
      <c r="W35">
        <v>36800</v>
      </c>
      <c r="X35">
        <v>2.8169838724510001E-4</v>
      </c>
      <c r="Y35">
        <v>59.581004336834702</v>
      </c>
      <c r="AA35">
        <v>73</v>
      </c>
      <c r="AB35" t="s">
        <v>101</v>
      </c>
      <c r="AC35">
        <v>1</v>
      </c>
      <c r="AD35">
        <v>5608537601800</v>
      </c>
      <c r="AE35">
        <v>3679353019</v>
      </c>
      <c r="AF35">
        <v>835693055.55999994</v>
      </c>
      <c r="AG35">
        <v>35318944</v>
      </c>
      <c r="AH35">
        <v>6.5602716433944396E-4</v>
      </c>
      <c r="AI35">
        <v>1.4900373589218501E-4</v>
      </c>
      <c r="AJ35">
        <v>158796.86555181199</v>
      </c>
      <c r="AK35">
        <v>5.4844532882646103E-3</v>
      </c>
      <c r="AL35">
        <v>13.503095184580699</v>
      </c>
      <c r="AN35" t="s">
        <v>306</v>
      </c>
      <c r="AP35">
        <v>384</v>
      </c>
      <c r="AQ35" s="2" t="s">
        <v>193</v>
      </c>
      <c r="AR35">
        <v>1</v>
      </c>
      <c r="AS35">
        <v>3194114264</v>
      </c>
      <c r="AT35">
        <v>4288426206.1399999</v>
      </c>
      <c r="AU35">
        <v>491961820.27999997</v>
      </c>
      <c r="AV35">
        <v>98112427</v>
      </c>
      <c r="AW35">
        <v>1.3426026283635699</v>
      </c>
      <c r="AX35">
        <v>0.15402135916825799</v>
      </c>
      <c r="AY35">
        <v>32.5556543820896</v>
      </c>
      <c r="AZ35">
        <v>4.8597564901536302E-3</v>
      </c>
      <c r="BA35">
        <v>14.3447421392158</v>
      </c>
      <c r="BC35">
        <v>943</v>
      </c>
      <c r="BD35" t="s">
        <v>184</v>
      </c>
      <c r="BE35">
        <v>3</v>
      </c>
      <c r="BF35">
        <v>71018075.280000001</v>
      </c>
      <c r="BG35">
        <v>212560977</v>
      </c>
      <c r="BH35">
        <v>18250000</v>
      </c>
      <c r="BI35">
        <v>2900653</v>
      </c>
      <c r="BJ35">
        <v>2.9930546014087902</v>
      </c>
      <c r="BK35">
        <v>0.25697683199729698</v>
      </c>
      <c r="BL35">
        <v>24.483478471916399</v>
      </c>
      <c r="BM35">
        <v>1.0459284138248301E-3</v>
      </c>
      <c r="BN35">
        <v>30.9206787983683</v>
      </c>
    </row>
    <row r="36" spans="1:66" x14ac:dyDescent="0.4">
      <c r="A36">
        <v>994</v>
      </c>
      <c r="B36" t="s">
        <v>65</v>
      </c>
      <c r="C36">
        <v>2</v>
      </c>
      <c r="D36">
        <v>1045821641600</v>
      </c>
      <c r="E36">
        <v>1818974725</v>
      </c>
      <c r="F36">
        <v>123766155.83</v>
      </c>
      <c r="G36">
        <v>10151316</v>
      </c>
      <c r="H36">
        <v>1.7392781451884599E-3</v>
      </c>
      <c r="I36">
        <v>1.18343464035273E-4</v>
      </c>
      <c r="J36">
        <v>103023.257437754</v>
      </c>
      <c r="K36">
        <v>9.0964348835986298E-4</v>
      </c>
      <c r="L36">
        <v>99.468517970527202</v>
      </c>
      <c r="N36">
        <v>19</v>
      </c>
      <c r="O36" s="2" t="s">
        <v>26</v>
      </c>
      <c r="P36">
        <v>1</v>
      </c>
      <c r="Q36">
        <v>2990750000000</v>
      </c>
      <c r="R36">
        <v>4497931980</v>
      </c>
      <c r="S36">
        <v>428525210.33999997</v>
      </c>
      <c r="T36">
        <v>10440000</v>
      </c>
      <c r="U36">
        <v>1.50394783248349E-3</v>
      </c>
      <c r="V36">
        <v>1.43283527656942E-4</v>
      </c>
      <c r="W36">
        <v>286470.30651340901</v>
      </c>
      <c r="X36">
        <v>2.62665611807468E-3</v>
      </c>
      <c r="Y36">
        <v>58.535542189471798</v>
      </c>
      <c r="AA36">
        <v>419</v>
      </c>
      <c r="AB36" t="s">
        <v>158</v>
      </c>
      <c r="AC36">
        <v>1</v>
      </c>
      <c r="AD36">
        <v>6680833573600</v>
      </c>
      <c r="AE36">
        <v>10949600986</v>
      </c>
      <c r="AF36">
        <v>308329940.22000003</v>
      </c>
      <c r="AG36">
        <v>68728639</v>
      </c>
      <c r="AH36">
        <v>1.6389573045597801E-3</v>
      </c>
      <c r="AI36" s="1">
        <v>4.61514176072874E-5</v>
      </c>
      <c r="AJ36">
        <v>97205.963493617193</v>
      </c>
      <c r="AK36">
        <v>6.5330255875113803E-3</v>
      </c>
      <c r="AL36">
        <v>12.3720828730672</v>
      </c>
      <c r="AN36" t="s">
        <v>307</v>
      </c>
      <c r="AP36">
        <v>901</v>
      </c>
      <c r="AQ36" t="s">
        <v>203</v>
      </c>
      <c r="AR36">
        <v>1</v>
      </c>
      <c r="AS36">
        <v>3278440526.25</v>
      </c>
      <c r="AT36">
        <v>4579168000</v>
      </c>
      <c r="AU36">
        <v>456186761.50999999</v>
      </c>
      <c r="AV36">
        <v>109152840</v>
      </c>
      <c r="AW36">
        <v>1.39675188960582</v>
      </c>
      <c r="AX36">
        <v>0.13914748730604601</v>
      </c>
      <c r="AY36">
        <v>30.035320439211599</v>
      </c>
      <c r="AZ36">
        <v>4.9880565653508896E-3</v>
      </c>
      <c r="BA36">
        <v>14.1590565110612</v>
      </c>
      <c r="BC36">
        <v>27</v>
      </c>
      <c r="BD36" t="s">
        <v>117</v>
      </c>
      <c r="BE36">
        <v>3</v>
      </c>
      <c r="BF36">
        <v>73038614.400000006</v>
      </c>
      <c r="BG36">
        <v>347847383</v>
      </c>
      <c r="BH36">
        <v>27000000</v>
      </c>
      <c r="BI36">
        <v>4056827</v>
      </c>
      <c r="BJ36">
        <v>4.7625134438475802</v>
      </c>
      <c r="BK36">
        <v>0.36966747277177198</v>
      </c>
      <c r="BL36">
        <v>18.003877020143999</v>
      </c>
      <c r="BM36">
        <v>1.07568617997831E-3</v>
      </c>
      <c r="BN36">
        <v>30.4899846342154</v>
      </c>
    </row>
    <row r="37" spans="1:66" x14ac:dyDescent="0.4">
      <c r="A37">
        <v>1112</v>
      </c>
      <c r="B37" t="s">
        <v>115</v>
      </c>
      <c r="C37">
        <v>2</v>
      </c>
      <c r="D37">
        <v>1064213749500</v>
      </c>
      <c r="E37">
        <v>1037481277.5700001</v>
      </c>
      <c r="F37">
        <v>138562500</v>
      </c>
      <c r="G37">
        <v>8753894</v>
      </c>
      <c r="H37">
        <v>9.7488054261415003E-4</v>
      </c>
      <c r="I37">
        <v>1.3020175699205201E-4</v>
      </c>
      <c r="J37">
        <v>121570.32624566799</v>
      </c>
      <c r="K37">
        <v>9.2564072968951295E-4</v>
      </c>
      <c r="L37">
        <v>98.605247316991296</v>
      </c>
      <c r="N37">
        <v>731</v>
      </c>
      <c r="O37" t="s">
        <v>232</v>
      </c>
      <c r="P37">
        <v>2</v>
      </c>
      <c r="Q37">
        <v>340991107530</v>
      </c>
      <c r="R37">
        <v>276937265</v>
      </c>
      <c r="S37">
        <v>12271623.75</v>
      </c>
      <c r="T37">
        <v>3218988</v>
      </c>
      <c r="U37">
        <v>8.1215392098057905E-4</v>
      </c>
      <c r="V37" s="1">
        <v>3.5988104906578401E-5</v>
      </c>
      <c r="W37">
        <v>105931.15212917799</v>
      </c>
      <c r="X37">
        <v>2.9947885273016398E-4</v>
      </c>
      <c r="Y37">
        <v>57.785239768586202</v>
      </c>
      <c r="AA37">
        <v>914</v>
      </c>
      <c r="AB37" s="2" t="s">
        <v>179</v>
      </c>
      <c r="AC37">
        <v>1</v>
      </c>
      <c r="AD37">
        <v>10054621170000</v>
      </c>
      <c r="AE37">
        <v>11869029000</v>
      </c>
      <c r="AF37">
        <v>884484982.82000005</v>
      </c>
      <c r="AG37">
        <v>178907850</v>
      </c>
      <c r="AH37">
        <v>1.18045511604292E-3</v>
      </c>
      <c r="AI37" s="1">
        <v>8.7968006736945998E-5</v>
      </c>
      <c r="AJ37">
        <v>56200</v>
      </c>
      <c r="AK37">
        <v>9.8321708889610605E-3</v>
      </c>
      <c r="AL37">
        <v>10.0849857961041</v>
      </c>
      <c r="AN37" t="s">
        <v>308</v>
      </c>
      <c r="AP37">
        <v>1051</v>
      </c>
      <c r="AQ37" t="s">
        <v>163</v>
      </c>
      <c r="AR37">
        <v>1</v>
      </c>
      <c r="AS37">
        <v>3322865700</v>
      </c>
      <c r="AT37">
        <v>3263226247</v>
      </c>
      <c r="AU37">
        <v>475847357.56</v>
      </c>
      <c r="AV37">
        <v>32002270</v>
      </c>
      <c r="AW37">
        <v>0.98205180155189498</v>
      </c>
      <c r="AX37">
        <v>0.14320390907161801</v>
      </c>
      <c r="AY37">
        <v>103.832187529197</v>
      </c>
      <c r="AZ37">
        <v>5.0556482382259202E-3</v>
      </c>
      <c r="BA37">
        <v>14.064088011436899</v>
      </c>
      <c r="BC37">
        <v>135</v>
      </c>
      <c r="BD37" t="s">
        <v>108</v>
      </c>
      <c r="BE37">
        <v>3</v>
      </c>
      <c r="BF37">
        <v>76278984.900000006</v>
      </c>
      <c r="BG37">
        <v>47831567</v>
      </c>
      <c r="BH37">
        <v>14750000</v>
      </c>
      <c r="BI37">
        <v>513044</v>
      </c>
      <c r="BJ37">
        <v>0.62706087479672201</v>
      </c>
      <c r="BK37">
        <v>0.19336911757985301</v>
      </c>
      <c r="BL37">
        <v>148.679226148244</v>
      </c>
      <c r="BM37">
        <v>1.12340917956549E-3</v>
      </c>
      <c r="BN37">
        <v>29.8353416830596</v>
      </c>
    </row>
    <row r="38" spans="1:66" x14ac:dyDescent="0.4">
      <c r="A38">
        <v>1121</v>
      </c>
      <c r="B38" t="s">
        <v>55</v>
      </c>
      <c r="C38">
        <v>2</v>
      </c>
      <c r="D38">
        <v>1112311475700</v>
      </c>
      <c r="E38">
        <v>1280008464</v>
      </c>
      <c r="F38">
        <v>97459375</v>
      </c>
      <c r="G38">
        <v>3957993</v>
      </c>
      <c r="H38">
        <v>1.1507644144320801E-3</v>
      </c>
      <c r="I38" s="1">
        <v>8.7618780466745404E-5</v>
      </c>
      <c r="J38">
        <v>281029.166979325</v>
      </c>
      <c r="K38">
        <v>9.6747557198232498E-4</v>
      </c>
      <c r="L38">
        <v>96.4497820526109</v>
      </c>
      <c r="N38">
        <v>448</v>
      </c>
      <c r="O38" t="s">
        <v>209</v>
      </c>
      <c r="P38">
        <v>2</v>
      </c>
      <c r="Q38">
        <v>366110400000</v>
      </c>
      <c r="R38">
        <v>218691263</v>
      </c>
      <c r="S38">
        <v>30279558.75</v>
      </c>
      <c r="T38">
        <v>3847759</v>
      </c>
      <c r="U38">
        <v>5.9733693170147505E-4</v>
      </c>
      <c r="V38" s="1">
        <v>8.2706087426087803E-5</v>
      </c>
      <c r="W38">
        <v>95148.994518627602</v>
      </c>
      <c r="X38">
        <v>3.2154012272866999E-4</v>
      </c>
      <c r="Y38">
        <v>55.767658900842797</v>
      </c>
      <c r="AA38">
        <v>246</v>
      </c>
      <c r="AB38" s="2" t="s">
        <v>157</v>
      </c>
      <c r="AC38">
        <v>1</v>
      </c>
      <c r="AD38">
        <v>11300845334250</v>
      </c>
      <c r="AE38">
        <v>13387594000</v>
      </c>
      <c r="AF38">
        <v>1295227569.1400001</v>
      </c>
      <c r="AG38">
        <v>224202345</v>
      </c>
      <c r="AH38">
        <v>1.18465420984265E-3</v>
      </c>
      <c r="AI38">
        <v>1.14613334740056E-4</v>
      </c>
      <c r="AJ38">
        <v>50404.670541024003</v>
      </c>
      <c r="AK38">
        <v>1.1050823361459799E-2</v>
      </c>
      <c r="AL38">
        <v>9.5126754837923002</v>
      </c>
      <c r="AN38" t="s">
        <v>309</v>
      </c>
      <c r="AP38">
        <v>590</v>
      </c>
      <c r="AQ38" s="2" t="s">
        <v>174</v>
      </c>
      <c r="AR38">
        <v>1</v>
      </c>
      <c r="AS38">
        <v>3623369817.1999998</v>
      </c>
      <c r="AT38">
        <v>6115314000</v>
      </c>
      <c r="AU38">
        <v>1351297955.22</v>
      </c>
      <c r="AV38">
        <v>202649026</v>
      </c>
      <c r="AW38">
        <v>1.6877421595142801</v>
      </c>
      <c r="AX38">
        <v>0.37293956272568102</v>
      </c>
      <c r="AY38">
        <v>17.880025819615799</v>
      </c>
      <c r="AZ38">
        <v>5.5128569393485096E-3</v>
      </c>
      <c r="BA38">
        <v>13.468264559946901</v>
      </c>
      <c r="BC38">
        <v>156</v>
      </c>
      <c r="BD38" t="s">
        <v>132</v>
      </c>
      <c r="BE38">
        <v>3</v>
      </c>
      <c r="BF38">
        <v>76817282</v>
      </c>
      <c r="BG38">
        <v>236410555</v>
      </c>
      <c r="BH38">
        <v>15275000</v>
      </c>
      <c r="BI38">
        <v>2475000</v>
      </c>
      <c r="BJ38">
        <v>3.0775699015229399</v>
      </c>
      <c r="BK38">
        <v>0.19884848307962699</v>
      </c>
      <c r="BL38">
        <v>31.037285656565601</v>
      </c>
      <c r="BM38">
        <v>1.13133702370587E-3</v>
      </c>
      <c r="BN38">
        <v>29.7306223275984</v>
      </c>
    </row>
    <row r="39" spans="1:66" x14ac:dyDescent="0.4">
      <c r="A39">
        <v>1054</v>
      </c>
      <c r="B39" t="s">
        <v>64</v>
      </c>
      <c r="C39">
        <v>3</v>
      </c>
      <c r="D39">
        <v>131065322000</v>
      </c>
      <c r="E39">
        <v>238723524</v>
      </c>
      <c r="F39">
        <v>19825000</v>
      </c>
      <c r="G39">
        <v>3542306</v>
      </c>
      <c r="H39">
        <v>1.8214087476166999E-3</v>
      </c>
      <c r="I39">
        <v>1.5126045316548299E-4</v>
      </c>
      <c r="J39">
        <v>37000</v>
      </c>
      <c r="K39">
        <v>1.13999091207072E-4</v>
      </c>
      <c r="L39">
        <v>93.658954477314396</v>
      </c>
      <c r="N39">
        <v>1069</v>
      </c>
      <c r="O39" t="s">
        <v>45</v>
      </c>
      <c r="P39">
        <v>2</v>
      </c>
      <c r="Q39">
        <v>380373000000</v>
      </c>
      <c r="R39">
        <v>753074771</v>
      </c>
      <c r="S39">
        <v>63772962.640000001</v>
      </c>
      <c r="T39">
        <v>8286143</v>
      </c>
      <c r="U39">
        <v>1.9798323514024301E-3</v>
      </c>
      <c r="V39">
        <v>1.6765901533494701E-4</v>
      </c>
      <c r="W39">
        <v>45904.711033830798</v>
      </c>
      <c r="X39">
        <v>3.3406639391471101E-4</v>
      </c>
      <c r="Y39">
        <v>54.712127834057704</v>
      </c>
      <c r="AA39">
        <v>57</v>
      </c>
      <c r="AB39" t="s">
        <v>216</v>
      </c>
      <c r="AC39">
        <v>1</v>
      </c>
      <c r="AD39">
        <v>13825402941500</v>
      </c>
      <c r="AE39">
        <v>11425577365.049999</v>
      </c>
      <c r="AF39">
        <v>985971579.64999998</v>
      </c>
      <c r="AG39">
        <v>207624727</v>
      </c>
      <c r="AH39">
        <v>8.2641912235003299E-4</v>
      </c>
      <c r="AI39" s="1">
        <v>7.1315938046940204E-5</v>
      </c>
      <c r="AJ39">
        <v>66588.422011507297</v>
      </c>
      <c r="AK39">
        <v>1.35195271936409E-2</v>
      </c>
      <c r="AL39">
        <v>8.6004118352416992</v>
      </c>
      <c r="AN39" t="s">
        <v>310</v>
      </c>
      <c r="AP39">
        <v>568</v>
      </c>
      <c r="AQ39" s="2" t="s">
        <v>241</v>
      </c>
      <c r="AR39">
        <v>1</v>
      </c>
      <c r="AS39">
        <v>3981220165</v>
      </c>
      <c r="AT39">
        <v>5192604414</v>
      </c>
      <c r="AU39">
        <v>708100907.44000006</v>
      </c>
      <c r="AV39">
        <v>150231040</v>
      </c>
      <c r="AW39">
        <v>1.3042746190350401</v>
      </c>
      <c r="AX39">
        <v>0.17786027350738001</v>
      </c>
      <c r="AY39">
        <v>26.500649699289799</v>
      </c>
      <c r="AZ39">
        <v>6.0573163438930903E-3</v>
      </c>
      <c r="BA39">
        <v>12.8487202155993</v>
      </c>
      <c r="BC39">
        <v>523</v>
      </c>
      <c r="BD39" t="s">
        <v>126</v>
      </c>
      <c r="BE39">
        <v>3</v>
      </c>
      <c r="BF39">
        <v>78556368</v>
      </c>
      <c r="BG39">
        <v>238240163</v>
      </c>
      <c r="BH39">
        <v>16500000</v>
      </c>
      <c r="BI39">
        <v>3248141</v>
      </c>
      <c r="BJ39">
        <v>3.0327288425554499</v>
      </c>
      <c r="BK39">
        <v>0.21004026051713501</v>
      </c>
      <c r="BL39">
        <v>24.185023987567</v>
      </c>
      <c r="BM39">
        <v>1.15694965055211E-3</v>
      </c>
      <c r="BN39">
        <v>29.399691305578799</v>
      </c>
    </row>
    <row r="40" spans="1:66" x14ac:dyDescent="0.4">
      <c r="A40">
        <v>6</v>
      </c>
      <c r="B40" t="s">
        <v>122</v>
      </c>
      <c r="C40">
        <v>2</v>
      </c>
      <c r="D40">
        <v>1180648171700</v>
      </c>
      <c r="E40">
        <v>1360493467.9300001</v>
      </c>
      <c r="F40">
        <v>140262851.38</v>
      </c>
      <c r="G40">
        <v>11148029</v>
      </c>
      <c r="H40">
        <v>1.1523275947406401E-3</v>
      </c>
      <c r="I40">
        <v>1.1880156573489401E-4</v>
      </c>
      <c r="J40">
        <v>105906.449624413</v>
      </c>
      <c r="K40">
        <v>1.0269140345841501E-3</v>
      </c>
      <c r="L40">
        <v>93.616890112391204</v>
      </c>
      <c r="N40">
        <v>708</v>
      </c>
      <c r="O40" t="s">
        <v>77</v>
      </c>
      <c r="P40">
        <v>2</v>
      </c>
      <c r="Q40">
        <v>399153950700</v>
      </c>
      <c r="R40">
        <v>599634935</v>
      </c>
      <c r="S40">
        <v>63750000</v>
      </c>
      <c r="T40">
        <v>9778827</v>
      </c>
      <c r="U40">
        <v>1.50226481273306E-3</v>
      </c>
      <c r="V40" s="1">
        <v>1.5971281228258099E-4</v>
      </c>
      <c r="W40">
        <v>40818.183070423402</v>
      </c>
      <c r="X40">
        <v>3.5056095182139398E-4</v>
      </c>
      <c r="Y40">
        <v>53.409465322429398</v>
      </c>
      <c r="AA40">
        <v>1070</v>
      </c>
      <c r="AB40" s="2" t="s">
        <v>61</v>
      </c>
      <c r="AC40">
        <v>1</v>
      </c>
      <c r="AD40">
        <v>14623411580050</v>
      </c>
      <c r="AE40">
        <v>29342327000</v>
      </c>
      <c r="AF40">
        <v>2013229721.22</v>
      </c>
      <c r="AG40">
        <v>378624659</v>
      </c>
      <c r="AH40">
        <v>2.0065308864061701E-3</v>
      </c>
      <c r="AI40">
        <v>1.3767168558440499E-4</v>
      </c>
      <c r="AJ40">
        <v>38622.4489938728</v>
      </c>
      <c r="AK40">
        <v>1.4299880542855199E-2</v>
      </c>
      <c r="AL40">
        <v>8.3624550286403707</v>
      </c>
      <c r="AN40" t="s">
        <v>311</v>
      </c>
      <c r="AP40">
        <v>275</v>
      </c>
      <c r="AQ40" s="2" t="s">
        <v>34</v>
      </c>
      <c r="AR40">
        <v>1</v>
      </c>
      <c r="AS40">
        <v>4211342352</v>
      </c>
      <c r="AT40">
        <v>15577184456</v>
      </c>
      <c r="AU40">
        <v>959463157.59000003</v>
      </c>
      <c r="AV40">
        <v>97771862</v>
      </c>
      <c r="AW40">
        <v>3.6988644365619598</v>
      </c>
      <c r="AX40">
        <v>0.227828344835072</v>
      </c>
      <c r="AY40">
        <v>43.073152805456402</v>
      </c>
      <c r="AZ40">
        <v>6.40744088527412E-3</v>
      </c>
      <c r="BA40">
        <v>12.492739840566101</v>
      </c>
      <c r="BC40">
        <v>427</v>
      </c>
      <c r="BD40" t="s">
        <v>98</v>
      </c>
      <c r="BE40">
        <v>2</v>
      </c>
      <c r="BF40">
        <v>740562326</v>
      </c>
      <c r="BG40">
        <v>1146422012</v>
      </c>
      <c r="BH40">
        <v>257477997.22999999</v>
      </c>
      <c r="BI40">
        <v>18528300</v>
      </c>
      <c r="BJ40">
        <v>1.5480425775804301</v>
      </c>
      <c r="BK40">
        <v>0.34767903819887203</v>
      </c>
      <c r="BL40">
        <v>39.9692538441195</v>
      </c>
      <c r="BM40">
        <v>1.0906732911554201E-2</v>
      </c>
      <c r="BN40">
        <v>28.7259179508095</v>
      </c>
    </row>
    <row r="41" spans="1:66" x14ac:dyDescent="0.4">
      <c r="A41">
        <v>1002</v>
      </c>
      <c r="B41" t="s">
        <v>127</v>
      </c>
      <c r="C41">
        <v>3</v>
      </c>
      <c r="D41">
        <v>135364765200</v>
      </c>
      <c r="E41">
        <v>155137919</v>
      </c>
      <c r="F41">
        <v>20350000</v>
      </c>
      <c r="G41">
        <v>3829272</v>
      </c>
      <c r="H41">
        <v>1.1460731215452199E-3</v>
      </c>
      <c r="I41">
        <v>1.5033454215307099E-4</v>
      </c>
      <c r="J41">
        <v>35350</v>
      </c>
      <c r="K41">
        <v>1.17738696848116E-4</v>
      </c>
      <c r="L41">
        <v>92.159558949906597</v>
      </c>
      <c r="N41">
        <v>1136</v>
      </c>
      <c r="O41" t="s">
        <v>91</v>
      </c>
      <c r="P41">
        <v>2</v>
      </c>
      <c r="Q41">
        <v>414812085400</v>
      </c>
      <c r="R41">
        <v>357730092</v>
      </c>
      <c r="S41">
        <v>82791666.670000002</v>
      </c>
      <c r="T41">
        <v>8265167</v>
      </c>
      <c r="U41">
        <v>8.62390717606609E-4</v>
      </c>
      <c r="V41" s="1">
        <v>1.9958836683884099E-4</v>
      </c>
      <c r="W41">
        <v>50187.9859656798</v>
      </c>
      <c r="X41">
        <v>3.6431286532382501E-4</v>
      </c>
      <c r="Y41">
        <v>52.391730798847199</v>
      </c>
      <c r="AA41">
        <v>1049</v>
      </c>
      <c r="AB41" s="2" t="s">
        <v>152</v>
      </c>
      <c r="AC41">
        <v>1</v>
      </c>
      <c r="AD41">
        <v>15049791574400</v>
      </c>
      <c r="AE41">
        <v>16564065033</v>
      </c>
      <c r="AF41">
        <v>2056659396.45</v>
      </c>
      <c r="AG41">
        <v>441333115</v>
      </c>
      <c r="AH41">
        <v>1.1006175700915199E-3</v>
      </c>
      <c r="AI41">
        <v>1.3665700194469201E-4</v>
      </c>
      <c r="AJ41">
        <v>34100.753065855897</v>
      </c>
      <c r="AK41">
        <v>1.47168272280861E-2</v>
      </c>
      <c r="AL41">
        <v>8.2431443354595402</v>
      </c>
      <c r="AN41" t="s">
        <v>312</v>
      </c>
      <c r="AP41">
        <v>419</v>
      </c>
      <c r="AQ41" t="s">
        <v>158</v>
      </c>
      <c r="AR41">
        <v>1</v>
      </c>
      <c r="AS41">
        <v>5393151072</v>
      </c>
      <c r="AT41">
        <v>10949600986</v>
      </c>
      <c r="AU41">
        <v>308329940.22000003</v>
      </c>
      <c r="AV41">
        <v>68728639</v>
      </c>
      <c r="AW41">
        <v>2.0302789296683699</v>
      </c>
      <c r="AX41">
        <v>5.71706477537368E-2</v>
      </c>
      <c r="AY41">
        <v>78.470214898333694</v>
      </c>
      <c r="AZ41">
        <v>8.2055301589959093E-3</v>
      </c>
      <c r="BA41">
        <v>11.0394306857016</v>
      </c>
      <c r="BC41">
        <v>921</v>
      </c>
      <c r="BD41" t="s">
        <v>150</v>
      </c>
      <c r="BE41">
        <v>3</v>
      </c>
      <c r="BF41">
        <v>86990182.909999996</v>
      </c>
      <c r="BG41">
        <v>111811691</v>
      </c>
      <c r="BH41">
        <v>24975000</v>
      </c>
      <c r="BI41">
        <v>1439224</v>
      </c>
      <c r="BJ41">
        <v>1.2853368881369001</v>
      </c>
      <c r="BK41">
        <v>0.28710136206793702</v>
      </c>
      <c r="BL41">
        <v>60.442420992145699</v>
      </c>
      <c r="BM41">
        <v>1.28115981277532E-3</v>
      </c>
      <c r="BN41">
        <v>27.938195133270099</v>
      </c>
    </row>
    <row r="42" spans="1:66" x14ac:dyDescent="0.4">
      <c r="A42">
        <v>80</v>
      </c>
      <c r="B42" t="s">
        <v>92</v>
      </c>
      <c r="C42">
        <v>2</v>
      </c>
      <c r="D42">
        <v>1352724000000</v>
      </c>
      <c r="E42">
        <v>1236931257</v>
      </c>
      <c r="F42">
        <v>166450000</v>
      </c>
      <c r="G42">
        <v>7731850</v>
      </c>
      <c r="H42">
        <v>9.1440031891206104E-4</v>
      </c>
      <c r="I42">
        <v>1.2304801275056799E-4</v>
      </c>
      <c r="J42">
        <v>174954.76503036101</v>
      </c>
      <c r="K42">
        <v>1.1765835867247601E-3</v>
      </c>
      <c r="L42">
        <v>87.460078309417398</v>
      </c>
      <c r="N42">
        <v>1080</v>
      </c>
      <c r="O42" t="s">
        <v>212</v>
      </c>
      <c r="P42">
        <v>2</v>
      </c>
      <c r="Q42">
        <v>426092874750</v>
      </c>
      <c r="R42">
        <v>333624506</v>
      </c>
      <c r="S42">
        <v>28754500.670000002</v>
      </c>
      <c r="T42">
        <v>4898520</v>
      </c>
      <c r="U42">
        <v>7.8298541414414903E-4</v>
      </c>
      <c r="V42" s="1">
        <v>6.7484115257433094E-5</v>
      </c>
      <c r="W42">
        <v>86984.002259866204</v>
      </c>
      <c r="X42">
        <v>3.7422033146539097E-4</v>
      </c>
      <c r="Y42">
        <v>51.693544350584197</v>
      </c>
      <c r="AA42">
        <v>23</v>
      </c>
      <c r="AB42" s="2" t="s">
        <v>59</v>
      </c>
      <c r="AC42">
        <v>1</v>
      </c>
      <c r="AD42">
        <v>17086065076050</v>
      </c>
      <c r="AE42">
        <v>25266207000</v>
      </c>
      <c r="AF42">
        <v>3178486034.73</v>
      </c>
      <c r="AG42">
        <v>441025000</v>
      </c>
      <c r="AH42">
        <v>1.47876101885016E-3</v>
      </c>
      <c r="AI42">
        <v>1.86027971951562E-4</v>
      </c>
      <c r="AJ42">
        <v>38741.715494699798</v>
      </c>
      <c r="AK42">
        <v>1.6708049841686199E-2</v>
      </c>
      <c r="AL42">
        <v>7.7363679829891803</v>
      </c>
      <c r="AN42" t="s">
        <v>313</v>
      </c>
      <c r="AP42">
        <v>246</v>
      </c>
      <c r="AQ42" s="2" t="s">
        <v>157</v>
      </c>
      <c r="AR42">
        <v>1</v>
      </c>
      <c r="AS42">
        <v>6002441762.1000004</v>
      </c>
      <c r="AT42">
        <v>13387594000</v>
      </c>
      <c r="AU42">
        <v>1295227569.1400001</v>
      </c>
      <c r="AV42">
        <v>224202345</v>
      </c>
      <c r="AW42">
        <v>2.2303579993946001</v>
      </c>
      <c r="AX42">
        <v>0.215783446216536</v>
      </c>
      <c r="AY42">
        <v>26.772430779437201</v>
      </c>
      <c r="AZ42">
        <v>9.1325490884613704E-3</v>
      </c>
      <c r="BA42">
        <v>10.464150864447699</v>
      </c>
      <c r="BC42">
        <v>1120</v>
      </c>
      <c r="BD42" t="s">
        <v>16</v>
      </c>
      <c r="BE42">
        <v>2</v>
      </c>
      <c r="BF42">
        <v>838742900.32000005</v>
      </c>
      <c r="BG42">
        <v>2222723000</v>
      </c>
      <c r="BH42">
        <v>216803937.63</v>
      </c>
      <c r="BI42">
        <v>7771971</v>
      </c>
      <c r="BJ42">
        <v>2.6500647566160902</v>
      </c>
      <c r="BK42">
        <v>0.258486763401853</v>
      </c>
      <c r="BL42">
        <v>107.91894363990799</v>
      </c>
      <c r="BM42">
        <v>1.23527007438568E-2</v>
      </c>
      <c r="BN42">
        <v>26.992325010359099</v>
      </c>
    </row>
    <row r="43" spans="1:66" x14ac:dyDescent="0.4">
      <c r="A43">
        <v>523</v>
      </c>
      <c r="B43" t="s">
        <v>126</v>
      </c>
      <c r="C43">
        <v>3</v>
      </c>
      <c r="D43">
        <v>153568404000</v>
      </c>
      <c r="E43">
        <v>238240163</v>
      </c>
      <c r="F43">
        <v>16500000</v>
      </c>
      <c r="G43">
        <v>3248141</v>
      </c>
      <c r="H43">
        <v>1.5513618478446901E-3</v>
      </c>
      <c r="I43">
        <v>1.07443976561741E-4</v>
      </c>
      <c r="J43">
        <v>47278.860123375103</v>
      </c>
      <c r="K43">
        <v>1.3357200994875299E-4</v>
      </c>
      <c r="L43">
        <v>86.525131783733997</v>
      </c>
      <c r="N43">
        <v>553</v>
      </c>
      <c r="O43" t="s">
        <v>39</v>
      </c>
      <c r="P43">
        <v>1</v>
      </c>
      <c r="Q43">
        <v>4003444563600</v>
      </c>
      <c r="R43">
        <v>4982443783</v>
      </c>
      <c r="S43">
        <v>688472658.71000004</v>
      </c>
      <c r="T43">
        <v>24290936</v>
      </c>
      <c r="U43">
        <v>1.24453922212417E-3</v>
      </c>
      <c r="V43" s="1">
        <v>1.71970074213019E-4</v>
      </c>
      <c r="W43">
        <v>164812.28074537701</v>
      </c>
      <c r="X43">
        <v>3.5160652533153102E-3</v>
      </c>
      <c r="Y43">
        <v>50.5932748244267</v>
      </c>
      <c r="AA43">
        <v>957</v>
      </c>
      <c r="AB43" s="2" t="s">
        <v>208</v>
      </c>
      <c r="AC43">
        <v>1</v>
      </c>
      <c r="AD43">
        <v>17259428154500</v>
      </c>
      <c r="AE43">
        <v>13382959000</v>
      </c>
      <c r="AF43">
        <v>1541620454.2</v>
      </c>
      <c r="AG43">
        <v>296600873</v>
      </c>
      <c r="AH43">
        <v>7.7539990781853895E-4</v>
      </c>
      <c r="AI43" s="1">
        <v>8.9320482718198101E-5</v>
      </c>
      <c r="AJ43">
        <v>58190.753047783503</v>
      </c>
      <c r="AK43">
        <v>1.6877577403623799E-2</v>
      </c>
      <c r="AL43">
        <v>7.6974157791256603</v>
      </c>
      <c r="AN43" t="s">
        <v>314</v>
      </c>
      <c r="AP43">
        <v>914</v>
      </c>
      <c r="AQ43" s="2" t="s">
        <v>179</v>
      </c>
      <c r="AR43">
        <v>1</v>
      </c>
      <c r="AS43">
        <v>6242841726.6000004</v>
      </c>
      <c r="AT43">
        <v>11869029000</v>
      </c>
      <c r="AU43">
        <v>884484982.82000005</v>
      </c>
      <c r="AV43">
        <v>178907850</v>
      </c>
      <c r="AW43">
        <v>1.90122215487659</v>
      </c>
      <c r="AX43">
        <v>0.14167986656642501</v>
      </c>
      <c r="AY43">
        <v>34.894174440081798</v>
      </c>
      <c r="AZ43">
        <v>9.4983109839824591E-3</v>
      </c>
      <c r="BA43">
        <v>10.2606956918907</v>
      </c>
      <c r="BC43">
        <v>1033</v>
      </c>
      <c r="BD43" t="s">
        <v>136</v>
      </c>
      <c r="BE43">
        <v>3</v>
      </c>
      <c r="BF43">
        <v>93593272.700000003</v>
      </c>
      <c r="BG43">
        <v>271469147</v>
      </c>
      <c r="BH43">
        <v>22950000</v>
      </c>
      <c r="BI43">
        <v>4000000</v>
      </c>
      <c r="BJ43">
        <v>2.90051986824048</v>
      </c>
      <c r="BK43">
        <v>0.24520993163218999</v>
      </c>
      <c r="BL43">
        <v>23.398318175</v>
      </c>
      <c r="BM43">
        <v>1.3784077204828701E-3</v>
      </c>
      <c r="BN43">
        <v>26.9346385273785</v>
      </c>
    </row>
    <row r="44" spans="1:66" x14ac:dyDescent="0.4">
      <c r="A44">
        <v>1001</v>
      </c>
      <c r="B44" t="s">
        <v>84</v>
      </c>
      <c r="C44">
        <v>3</v>
      </c>
      <c r="D44">
        <v>153600000000</v>
      </c>
      <c r="E44">
        <v>203354857</v>
      </c>
      <c r="F44">
        <v>25850000</v>
      </c>
      <c r="G44">
        <v>3840000</v>
      </c>
      <c r="H44">
        <v>1.32392485026041E-3</v>
      </c>
      <c r="I44">
        <v>1.6829427083333301E-4</v>
      </c>
      <c r="J44">
        <v>40000</v>
      </c>
      <c r="K44">
        <v>1.3359949178171101E-4</v>
      </c>
      <c r="L44">
        <v>86.516232081036904</v>
      </c>
      <c r="N44">
        <v>376</v>
      </c>
      <c r="O44" t="s">
        <v>167</v>
      </c>
      <c r="P44">
        <v>2</v>
      </c>
      <c r="Q44">
        <v>447323381000</v>
      </c>
      <c r="R44">
        <v>293692167</v>
      </c>
      <c r="S44">
        <v>40637500</v>
      </c>
      <c r="T44">
        <v>2855404</v>
      </c>
      <c r="U44">
        <v>6.5655447373093995E-4</v>
      </c>
      <c r="V44" s="1">
        <v>9.0845910869121301E-5</v>
      </c>
      <c r="W44">
        <v>156658.52572875799</v>
      </c>
      <c r="X44">
        <v>3.9286623604831698E-4</v>
      </c>
      <c r="Y44">
        <v>50.451914026639898</v>
      </c>
      <c r="AA44">
        <v>962</v>
      </c>
      <c r="AB44" s="2" t="s">
        <v>105</v>
      </c>
      <c r="AC44">
        <v>1</v>
      </c>
      <c r="AD44">
        <v>19039113418050</v>
      </c>
      <c r="AE44">
        <v>30467514000</v>
      </c>
      <c r="AF44">
        <v>2518817736.4099998</v>
      </c>
      <c r="AG44">
        <v>569039504</v>
      </c>
      <c r="AH44">
        <v>1.6002590735719501E-3</v>
      </c>
      <c r="AI44">
        <v>1.32297007801951E-4</v>
      </c>
      <c r="AJ44">
        <v>33458.333356852498</v>
      </c>
      <c r="AK44">
        <v>1.8617888584317399E-2</v>
      </c>
      <c r="AL44">
        <v>7.3288323390141201</v>
      </c>
      <c r="AN44" t="s">
        <v>315</v>
      </c>
      <c r="AP44">
        <v>889</v>
      </c>
      <c r="AQ44" s="2" t="s">
        <v>141</v>
      </c>
      <c r="AR44">
        <v>1</v>
      </c>
      <c r="AS44">
        <v>6942313613.3999996</v>
      </c>
      <c r="AT44">
        <v>11122258000</v>
      </c>
      <c r="AU44">
        <v>850828869.42999995</v>
      </c>
      <c r="AV44">
        <v>122424900</v>
      </c>
      <c r="AW44">
        <v>1.60209673883529</v>
      </c>
      <c r="AX44">
        <v>0.122556962535909</v>
      </c>
      <c r="AY44">
        <v>56.706712551123097</v>
      </c>
      <c r="AZ44">
        <v>1.05625381094389E-2</v>
      </c>
      <c r="BA44">
        <v>9.7300675552124698</v>
      </c>
      <c r="BC44">
        <v>963</v>
      </c>
      <c r="BD44" t="s">
        <v>175</v>
      </c>
      <c r="BE44">
        <v>2</v>
      </c>
      <c r="BF44">
        <v>846662920</v>
      </c>
      <c r="BG44">
        <v>1399615448</v>
      </c>
      <c r="BH44">
        <v>140750388.27000001</v>
      </c>
      <c r="BI44">
        <v>17765625</v>
      </c>
      <c r="BJ44">
        <v>1.6530964270881201</v>
      </c>
      <c r="BK44">
        <v>0.16624135171763499</v>
      </c>
      <c r="BL44">
        <v>47.657367528583897</v>
      </c>
      <c r="BM44">
        <v>1.24693439165802E-2</v>
      </c>
      <c r="BN44">
        <v>26.8657799371097</v>
      </c>
    </row>
    <row r="45" spans="1:66" x14ac:dyDescent="0.4">
      <c r="A45">
        <v>427</v>
      </c>
      <c r="B45" t="s">
        <v>98</v>
      </c>
      <c r="C45">
        <v>2</v>
      </c>
      <c r="D45">
        <v>1387750000000</v>
      </c>
      <c r="E45">
        <v>1146422012</v>
      </c>
      <c r="F45">
        <v>257477997.22999999</v>
      </c>
      <c r="G45">
        <v>18528300</v>
      </c>
      <c r="H45">
        <v>8.2610125166636601E-4</v>
      </c>
      <c r="I45">
        <v>1.8553629776977101E-4</v>
      </c>
      <c r="J45">
        <v>74898.938380747204</v>
      </c>
      <c r="K45">
        <v>1.20704879375045E-3</v>
      </c>
      <c r="L45">
        <v>86.349304030103696</v>
      </c>
      <c r="N45">
        <v>1090</v>
      </c>
      <c r="O45" t="s">
        <v>211</v>
      </c>
      <c r="P45">
        <v>2</v>
      </c>
      <c r="Q45">
        <v>461871919000</v>
      </c>
      <c r="R45">
        <v>377369101</v>
      </c>
      <c r="S45">
        <v>46620995.75</v>
      </c>
      <c r="T45">
        <v>17598063</v>
      </c>
      <c r="U45">
        <v>8.1704274599989199E-4</v>
      </c>
      <c r="V45" s="1">
        <v>1.0093922975646399E-4</v>
      </c>
      <c r="W45">
        <v>26245.611178912099</v>
      </c>
      <c r="X45">
        <v>4.05643635144444E-4</v>
      </c>
      <c r="Y45">
        <v>49.650961947642102</v>
      </c>
      <c r="AA45">
        <v>364</v>
      </c>
      <c r="AB45" s="2" t="s">
        <v>100</v>
      </c>
      <c r="AC45">
        <v>1</v>
      </c>
      <c r="AD45">
        <v>19791411545000</v>
      </c>
      <c r="AE45">
        <v>41500566100</v>
      </c>
      <c r="AF45">
        <v>1785501474.24</v>
      </c>
      <c r="AG45">
        <v>599968175</v>
      </c>
      <c r="AH45">
        <v>2.0968977379728299E-3</v>
      </c>
      <c r="AI45" s="1">
        <v>9.0215974246216906E-5</v>
      </c>
      <c r="AJ45">
        <v>32987.435616897499</v>
      </c>
      <c r="AK45">
        <v>1.9353542729665701E-2</v>
      </c>
      <c r="AL45">
        <v>7.1881935453194403</v>
      </c>
      <c r="AN45" t="s">
        <v>316</v>
      </c>
      <c r="AP45">
        <v>1027</v>
      </c>
      <c r="AQ45" s="2" t="s">
        <v>28</v>
      </c>
      <c r="AR45">
        <v>1</v>
      </c>
      <c r="AS45">
        <v>7465141033.1999998</v>
      </c>
      <c r="AT45">
        <v>22669397000</v>
      </c>
      <c r="AU45">
        <v>1332883530.01</v>
      </c>
      <c r="AV45">
        <v>222002297</v>
      </c>
      <c r="AW45">
        <v>3.0367004319384598</v>
      </c>
      <c r="AX45">
        <v>0.17854766896997801</v>
      </c>
      <c r="AY45">
        <v>33.626413483460396</v>
      </c>
      <c r="AZ45">
        <v>1.13580055650776E-2</v>
      </c>
      <c r="BA45">
        <v>9.3831565329279307</v>
      </c>
      <c r="BC45">
        <v>1052</v>
      </c>
      <c r="BD45" t="s">
        <v>190</v>
      </c>
      <c r="BE45">
        <v>3</v>
      </c>
      <c r="BF45">
        <v>95657749.200000003</v>
      </c>
      <c r="BG45">
        <v>173181752</v>
      </c>
      <c r="BH45">
        <v>22387500</v>
      </c>
      <c r="BI45">
        <v>2448127</v>
      </c>
      <c r="BJ45">
        <v>1.81043097342708</v>
      </c>
      <c r="BK45">
        <v>0.23403749499888901</v>
      </c>
      <c r="BL45">
        <v>39.0738508255494</v>
      </c>
      <c r="BM45">
        <v>1.40881258040776E-3</v>
      </c>
      <c r="BN45">
        <v>26.642402764660901</v>
      </c>
    </row>
    <row r="46" spans="1:66" x14ac:dyDescent="0.4">
      <c r="A46">
        <v>330</v>
      </c>
      <c r="B46" t="s">
        <v>74</v>
      </c>
      <c r="C46">
        <v>3</v>
      </c>
      <c r="D46">
        <v>156160000000</v>
      </c>
      <c r="E46">
        <v>178028974</v>
      </c>
      <c r="F46">
        <v>28936226.25</v>
      </c>
      <c r="G46">
        <v>2625000</v>
      </c>
      <c r="H46">
        <v>1.14004209784836E-3</v>
      </c>
      <c r="I46">
        <v>1.8529857998206899E-4</v>
      </c>
      <c r="J46">
        <v>59489.523809523802</v>
      </c>
      <c r="K46">
        <v>1.3582614997807301E-4</v>
      </c>
      <c r="L46">
        <v>85.804152218110602</v>
      </c>
      <c r="N46">
        <v>530</v>
      </c>
      <c r="O46" t="s">
        <v>177</v>
      </c>
      <c r="P46">
        <v>2</v>
      </c>
      <c r="Q46">
        <v>473884493040</v>
      </c>
      <c r="R46">
        <v>364132045</v>
      </c>
      <c r="S46">
        <v>36100000</v>
      </c>
      <c r="T46">
        <v>3246449</v>
      </c>
      <c r="U46">
        <v>7.6839831298143796E-4</v>
      </c>
      <c r="V46" s="1">
        <v>7.6178901251687105E-5</v>
      </c>
      <c r="W46">
        <v>145970.10242267701</v>
      </c>
      <c r="X46">
        <v>4.16193798513495E-4</v>
      </c>
      <c r="Y46">
        <v>49.017617395993398</v>
      </c>
      <c r="AA46">
        <v>357</v>
      </c>
      <c r="AB46" s="2" t="s">
        <v>48</v>
      </c>
      <c r="AC46">
        <v>1</v>
      </c>
      <c r="AD46">
        <v>36570999809500</v>
      </c>
      <c r="AE46">
        <v>64228955000</v>
      </c>
      <c r="AF46">
        <v>6806137767.8999996</v>
      </c>
      <c r="AG46">
        <v>828254487</v>
      </c>
      <c r="AH46">
        <v>1.75628107884858E-3</v>
      </c>
      <c r="AI46">
        <v>1.8610751150784701E-4</v>
      </c>
      <c r="AJ46">
        <v>44154.303276958803</v>
      </c>
      <c r="AK46">
        <v>3.5761896308935302E-2</v>
      </c>
      <c r="AL46">
        <v>5.2879791024222902</v>
      </c>
      <c r="AN46" t="s">
        <v>317</v>
      </c>
      <c r="AP46">
        <v>903</v>
      </c>
      <c r="AQ46" s="2" t="s">
        <v>176</v>
      </c>
      <c r="AR46">
        <v>1</v>
      </c>
      <c r="AS46">
        <v>9022423194.5</v>
      </c>
      <c r="AT46">
        <v>27530172000</v>
      </c>
      <c r="AU46">
        <v>1580123117.9300001</v>
      </c>
      <c r="AV46">
        <v>332793625</v>
      </c>
      <c r="AW46">
        <v>3.0513057752358699</v>
      </c>
      <c r="AX46">
        <v>0.17513289765583401</v>
      </c>
      <c r="AY46">
        <v>27.111165950068902</v>
      </c>
      <c r="AZ46">
        <v>1.37273672925759E-2</v>
      </c>
      <c r="BA46">
        <v>8.5350559626137894</v>
      </c>
      <c r="BC46">
        <v>176</v>
      </c>
      <c r="BD46" t="s">
        <v>57</v>
      </c>
      <c r="BE46">
        <v>3</v>
      </c>
      <c r="BF46">
        <v>95849088.450000003</v>
      </c>
      <c r="BG46">
        <v>289898208</v>
      </c>
      <c r="BH46">
        <v>28250000</v>
      </c>
      <c r="BI46">
        <v>6297284</v>
      </c>
      <c r="BJ46">
        <v>3.02452754312031</v>
      </c>
      <c r="BK46">
        <v>0.29473415404191999</v>
      </c>
      <c r="BL46">
        <v>15.220702837921801</v>
      </c>
      <c r="BM46">
        <v>1.4116305553735101E-3</v>
      </c>
      <c r="BN46">
        <v>26.615796961285699</v>
      </c>
    </row>
    <row r="47" spans="1:66" x14ac:dyDescent="0.4">
      <c r="A47">
        <v>963</v>
      </c>
      <c r="B47" t="s">
        <v>175</v>
      </c>
      <c r="C47">
        <v>2</v>
      </c>
      <c r="D47">
        <v>1464000000000</v>
      </c>
      <c r="E47">
        <v>1399615448</v>
      </c>
      <c r="F47">
        <v>140750388.27000001</v>
      </c>
      <c r="G47">
        <v>17765625</v>
      </c>
      <c r="H47">
        <v>9.5602148087431697E-4</v>
      </c>
      <c r="I47" s="1">
        <v>9.6140975594262302E-5</v>
      </c>
      <c r="J47">
        <v>82406.332453825802</v>
      </c>
      <c r="K47">
        <v>1.27337015604443E-3</v>
      </c>
      <c r="L47">
        <v>84.070556298587306</v>
      </c>
      <c r="N47">
        <v>52</v>
      </c>
      <c r="O47" t="s">
        <v>68</v>
      </c>
      <c r="P47">
        <v>1</v>
      </c>
      <c r="Q47">
        <v>4375320465850</v>
      </c>
      <c r="R47">
        <v>6006117000</v>
      </c>
      <c r="S47">
        <v>716960948.51999998</v>
      </c>
      <c r="T47">
        <v>55677883</v>
      </c>
      <c r="U47">
        <v>1.3727261915735299E-3</v>
      </c>
      <c r="V47">
        <v>1.63864785246242E-4</v>
      </c>
      <c r="W47">
        <v>78582.737527035599</v>
      </c>
      <c r="X47">
        <v>3.8426689860945498E-3</v>
      </c>
      <c r="Y47">
        <v>48.395476148377803</v>
      </c>
      <c r="AA47">
        <v>390</v>
      </c>
      <c r="AB47" s="2" t="s">
        <v>192</v>
      </c>
      <c r="AC47">
        <v>1</v>
      </c>
      <c r="AD47">
        <v>253146621356000</v>
      </c>
      <c r="AE47">
        <v>175638353000</v>
      </c>
      <c r="AF47">
        <v>25091958719.27</v>
      </c>
      <c r="AG47">
        <v>2671895561</v>
      </c>
      <c r="AH47">
        <v>6.9382064852052596E-4</v>
      </c>
      <c r="AI47" s="1">
        <v>9.9120259179691705E-5</v>
      </c>
      <c r="AJ47">
        <v>94744.205219329597</v>
      </c>
      <c r="AK47">
        <v>0.24754595912193</v>
      </c>
      <c r="AL47">
        <v>2.0098890275951198</v>
      </c>
      <c r="AN47" t="s">
        <v>318</v>
      </c>
      <c r="AP47">
        <v>57</v>
      </c>
      <c r="AQ47" t="s">
        <v>216</v>
      </c>
      <c r="AR47">
        <v>1</v>
      </c>
      <c r="AS47">
        <v>9430595525</v>
      </c>
      <c r="AT47">
        <v>11425577365.049999</v>
      </c>
      <c r="AU47">
        <v>985971579.64999998</v>
      </c>
      <c r="AV47">
        <v>207624727</v>
      </c>
      <c r="AW47">
        <v>1.2115435695191601</v>
      </c>
      <c r="AX47">
        <v>0.10455029876281299</v>
      </c>
      <c r="AY47">
        <v>45.421350632287599</v>
      </c>
      <c r="AZ47">
        <v>1.4348390201682701E-2</v>
      </c>
      <c r="BA47">
        <v>8.3483069854243901</v>
      </c>
      <c r="BC47">
        <v>468</v>
      </c>
      <c r="BD47" t="s">
        <v>185</v>
      </c>
      <c r="BE47">
        <v>3</v>
      </c>
      <c r="BF47">
        <v>98252718.849999994</v>
      </c>
      <c r="BG47">
        <v>200213504</v>
      </c>
      <c r="BH47">
        <v>24600000</v>
      </c>
      <c r="BI47">
        <v>3080000</v>
      </c>
      <c r="BJ47">
        <v>2.0377400884514998</v>
      </c>
      <c r="BK47">
        <v>0.25037475082553401</v>
      </c>
      <c r="BL47">
        <v>31.9002333928571</v>
      </c>
      <c r="BM47">
        <v>1.4470303507323899E-3</v>
      </c>
      <c r="BN47">
        <v>26.288219952970199</v>
      </c>
    </row>
    <row r="48" spans="1:66" x14ac:dyDescent="0.4">
      <c r="A48">
        <v>168</v>
      </c>
      <c r="B48" t="s">
        <v>114</v>
      </c>
      <c r="C48">
        <v>2</v>
      </c>
      <c r="D48">
        <v>1465824979600</v>
      </c>
      <c r="E48">
        <v>1099616742</v>
      </c>
      <c r="F48">
        <v>163294068.81</v>
      </c>
      <c r="G48">
        <v>7592914</v>
      </c>
      <c r="H48">
        <v>7.5016919298241701E-4</v>
      </c>
      <c r="I48">
        <v>1.1140079551281699E-4</v>
      </c>
      <c r="J48">
        <v>193051.70315375601</v>
      </c>
      <c r="K48">
        <v>1.2749575020540101E-3</v>
      </c>
      <c r="L48">
        <v>84.018205289093899</v>
      </c>
      <c r="N48">
        <v>1108</v>
      </c>
      <c r="O48" s="2" t="s">
        <v>111</v>
      </c>
      <c r="P48">
        <v>1</v>
      </c>
      <c r="Q48">
        <v>4390441492500</v>
      </c>
      <c r="R48">
        <v>7356945081</v>
      </c>
      <c r="S48">
        <v>353904180.05000001</v>
      </c>
      <c r="T48">
        <v>41796270</v>
      </c>
      <c r="U48">
        <v>1.6756731853886501E-3</v>
      </c>
      <c r="V48" s="1">
        <v>8.0607879789437804E-5</v>
      </c>
      <c r="W48">
        <v>105043.85899746499</v>
      </c>
      <c r="X48">
        <v>3.8559491790768402E-3</v>
      </c>
      <c r="Y48">
        <v>48.312065350374802</v>
      </c>
      <c r="AA48">
        <v>903</v>
      </c>
      <c r="AB48" s="2" t="s">
        <v>176</v>
      </c>
      <c r="AC48">
        <v>1</v>
      </c>
      <c r="AD48">
        <v>21100000000000</v>
      </c>
      <c r="AE48">
        <v>27530172000</v>
      </c>
      <c r="AF48">
        <v>1580123117.9300001</v>
      </c>
      <c r="AG48">
        <v>332793625</v>
      </c>
      <c r="AH48">
        <v>1.3047474881516499E-3</v>
      </c>
      <c r="AI48" s="1">
        <v>7.4887351560663505E-5</v>
      </c>
      <c r="AJ48">
        <v>63402.656826734499</v>
      </c>
      <c r="AK48">
        <v>2.0633179733919101E-2</v>
      </c>
      <c r="AL48">
        <v>-6.96172588864001</v>
      </c>
      <c r="AN48" t="s">
        <v>319</v>
      </c>
      <c r="AP48">
        <v>1049</v>
      </c>
      <c r="AQ48" s="2" t="s">
        <v>152</v>
      </c>
      <c r="AR48">
        <v>1</v>
      </c>
      <c r="AS48">
        <v>10060537686.5</v>
      </c>
      <c r="AT48">
        <v>16564065033</v>
      </c>
      <c r="AU48">
        <v>2056659396.45</v>
      </c>
      <c r="AV48">
        <v>441333115</v>
      </c>
      <c r="AW48">
        <v>1.6464393404367299</v>
      </c>
      <c r="AX48">
        <v>0.20442837754186599</v>
      </c>
      <c r="AY48">
        <v>22.795791533794102</v>
      </c>
      <c r="AZ48">
        <v>1.5306829773577399E-2</v>
      </c>
      <c r="BA48">
        <v>8.0827170120633607</v>
      </c>
      <c r="BC48">
        <v>1019</v>
      </c>
      <c r="BD48" t="s">
        <v>36</v>
      </c>
      <c r="BE48">
        <v>3</v>
      </c>
      <c r="BF48">
        <v>99071535.150000006</v>
      </c>
      <c r="BG48">
        <v>425031664</v>
      </c>
      <c r="BH48">
        <v>53281277.5</v>
      </c>
      <c r="BI48">
        <v>5658394</v>
      </c>
      <c r="BJ48">
        <v>4.29014916702842</v>
      </c>
      <c r="BK48">
        <v>0.53780611574585002</v>
      </c>
      <c r="BL48">
        <v>17.508772833775801</v>
      </c>
      <c r="BM48">
        <v>1.45908957974552E-3</v>
      </c>
      <c r="BN48">
        <v>26.1793598062863</v>
      </c>
    </row>
    <row r="49" spans="1:66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1.44574637844277E-4</v>
      </c>
      <c r="L49">
        <v>83.167556797777394</v>
      </c>
      <c r="N49">
        <v>303</v>
      </c>
      <c r="O49" t="s">
        <v>49</v>
      </c>
      <c r="P49">
        <v>2</v>
      </c>
      <c r="Q49">
        <v>502800000000</v>
      </c>
      <c r="R49">
        <v>338539000</v>
      </c>
      <c r="S49">
        <v>68950000</v>
      </c>
      <c r="T49">
        <v>1680000</v>
      </c>
      <c r="U49">
        <v>6.7330747812251396E-4</v>
      </c>
      <c r="V49" s="1">
        <v>1.37132060461416E-4</v>
      </c>
      <c r="W49">
        <v>299285.71428571403</v>
      </c>
      <c r="X49">
        <v>4.41589131879278E-4</v>
      </c>
      <c r="Y49">
        <v>47.587272310242497</v>
      </c>
      <c r="AA49">
        <v>783</v>
      </c>
      <c r="AB49" t="s">
        <v>147</v>
      </c>
      <c r="AC49">
        <v>1</v>
      </c>
      <c r="AD49">
        <v>11916181200000</v>
      </c>
      <c r="AE49">
        <v>4787042075</v>
      </c>
      <c r="AF49">
        <v>568171938.03999996</v>
      </c>
      <c r="AG49">
        <v>38675093</v>
      </c>
      <c r="AH49">
        <v>4.0172619018247202E-4</v>
      </c>
      <c r="AI49" s="1">
        <v>4.7680706469955301E-5</v>
      </c>
      <c r="AJ49">
        <v>308109.95593468897</v>
      </c>
      <c r="AK49">
        <v>1.165254542377E-2</v>
      </c>
      <c r="AL49">
        <v>-9.2638091166173897</v>
      </c>
      <c r="AN49" t="s">
        <v>320</v>
      </c>
      <c r="AP49">
        <v>23</v>
      </c>
      <c r="AQ49" s="2" t="s">
        <v>59</v>
      </c>
      <c r="AR49">
        <v>1</v>
      </c>
      <c r="AS49">
        <v>10813427050.799999</v>
      </c>
      <c r="AT49">
        <v>25266207000</v>
      </c>
      <c r="AU49">
        <v>3178486034.73</v>
      </c>
      <c r="AV49">
        <v>441025000</v>
      </c>
      <c r="AW49">
        <v>2.3365586951576698</v>
      </c>
      <c r="AX49">
        <v>0.29393882437065499</v>
      </c>
      <c r="AY49">
        <v>24.518852787937099</v>
      </c>
      <c r="AZ49">
        <v>1.6452330113299898E-2</v>
      </c>
      <c r="BA49">
        <v>7.7962596122388002</v>
      </c>
      <c r="BC49">
        <v>584</v>
      </c>
      <c r="BD49" t="s">
        <v>40</v>
      </c>
      <c r="BE49">
        <v>3</v>
      </c>
      <c r="BF49">
        <v>118822510.70999999</v>
      </c>
      <c r="BG49">
        <v>382012631</v>
      </c>
      <c r="BH49">
        <v>57875000</v>
      </c>
      <c r="BI49">
        <v>3472481</v>
      </c>
      <c r="BJ49">
        <v>3.2149853484609898</v>
      </c>
      <c r="BK49">
        <v>0.48707100745624299</v>
      </c>
      <c r="BL49">
        <v>34.218332860568502</v>
      </c>
      <c r="BM49">
        <v>1.7499747728110301E-3</v>
      </c>
      <c r="BN49">
        <v>23.904744487167701</v>
      </c>
    </row>
    <row r="50" spans="1:66" x14ac:dyDescent="0.4">
      <c r="A50">
        <v>935</v>
      </c>
      <c r="B50" t="s">
        <v>171</v>
      </c>
      <c r="C50">
        <v>2</v>
      </c>
      <c r="D50">
        <v>1582341384000</v>
      </c>
      <c r="E50">
        <v>1166431157.1199999</v>
      </c>
      <c r="F50">
        <v>168235018.13</v>
      </c>
      <c r="G50">
        <v>15469818</v>
      </c>
      <c r="H50">
        <v>7.3715518592541501E-4</v>
      </c>
      <c r="I50">
        <v>1.06320304727617E-4</v>
      </c>
      <c r="J50">
        <v>102285.714285714</v>
      </c>
      <c r="K50">
        <v>1.37630211411178E-3</v>
      </c>
      <c r="L50">
        <v>80.865702966105303</v>
      </c>
      <c r="N50">
        <v>1135</v>
      </c>
      <c r="O50" t="s">
        <v>204</v>
      </c>
      <c r="P50">
        <v>2</v>
      </c>
      <c r="Q50">
        <v>509421000000</v>
      </c>
      <c r="R50">
        <v>181483615</v>
      </c>
      <c r="S50">
        <v>49482700.549999997</v>
      </c>
      <c r="T50">
        <v>4308000</v>
      </c>
      <c r="U50">
        <v>3.5625467933202598E-4</v>
      </c>
      <c r="V50" s="1">
        <v>9.7135180037729094E-5</v>
      </c>
      <c r="W50">
        <v>118250</v>
      </c>
      <c r="X50">
        <v>4.4740409139036201E-4</v>
      </c>
      <c r="Y50">
        <v>47.277012422474897</v>
      </c>
      <c r="AA50">
        <v>590</v>
      </c>
      <c r="AB50" s="2" t="s">
        <v>174</v>
      </c>
      <c r="AC50">
        <v>1</v>
      </c>
      <c r="AD50">
        <v>9348449758200</v>
      </c>
      <c r="AE50">
        <v>6115314000</v>
      </c>
      <c r="AF50">
        <v>1351297955.22</v>
      </c>
      <c r="AG50">
        <v>202649026</v>
      </c>
      <c r="AH50">
        <v>6.5415273742429304E-4</v>
      </c>
      <c r="AI50">
        <v>1.44547811687676E-4</v>
      </c>
      <c r="AJ50">
        <v>46131.234591771397</v>
      </c>
      <c r="AK50">
        <v>9.1416229428651005E-3</v>
      </c>
      <c r="AL50">
        <v>-10.458956286019401</v>
      </c>
      <c r="AN50" t="s">
        <v>321</v>
      </c>
      <c r="AP50">
        <v>1070</v>
      </c>
      <c r="AQ50" s="2" t="s">
        <v>61</v>
      </c>
      <c r="AR50">
        <v>1</v>
      </c>
      <c r="AS50">
        <v>12706945641.35</v>
      </c>
      <c r="AT50">
        <v>29342327000</v>
      </c>
      <c r="AU50">
        <v>2013229721.22</v>
      </c>
      <c r="AV50">
        <v>378624659</v>
      </c>
      <c r="AW50">
        <v>2.3091565690275999</v>
      </c>
      <c r="AX50">
        <v>0.158435376843723</v>
      </c>
      <c r="AY50">
        <v>33.560797849011699</v>
      </c>
      <c r="AZ50">
        <v>1.9333266266200199E-2</v>
      </c>
      <c r="BA50">
        <v>7.1919619967124202</v>
      </c>
      <c r="BC50">
        <v>180</v>
      </c>
      <c r="BD50" t="s">
        <v>44</v>
      </c>
      <c r="BE50">
        <v>2</v>
      </c>
      <c r="BF50">
        <v>1090742317.25</v>
      </c>
      <c r="BG50">
        <v>2473371697.0799999</v>
      </c>
      <c r="BH50">
        <v>323983788.23000002</v>
      </c>
      <c r="BI50">
        <v>24000000</v>
      </c>
      <c r="BJ50">
        <v>2.2676040508961899</v>
      </c>
      <c r="BK50">
        <v>0.29703054800957301</v>
      </c>
      <c r="BL50">
        <v>45.447596552083297</v>
      </c>
      <c r="BM50">
        <v>1.6064056611995999E-2</v>
      </c>
      <c r="BN50">
        <v>23.669748408295199</v>
      </c>
    </row>
    <row r="51" spans="1:66" x14ac:dyDescent="0.4">
      <c r="A51">
        <v>180</v>
      </c>
      <c r="B51" t="s">
        <v>44</v>
      </c>
      <c r="C51">
        <v>2</v>
      </c>
      <c r="D51">
        <v>1635000000000</v>
      </c>
      <c r="E51">
        <v>2473371697.0799999</v>
      </c>
      <c r="F51">
        <v>323983788.23000002</v>
      </c>
      <c r="G51">
        <v>24000000</v>
      </c>
      <c r="H51">
        <v>1.5127655639633E-3</v>
      </c>
      <c r="I51">
        <v>1.9815522215902101E-4</v>
      </c>
      <c r="J51">
        <v>68125</v>
      </c>
      <c r="K51">
        <v>1.42210396525454E-3</v>
      </c>
      <c r="L51">
        <v>79.5528203380901</v>
      </c>
      <c r="N51">
        <v>4</v>
      </c>
      <c r="O51" t="s">
        <v>138</v>
      </c>
      <c r="P51">
        <v>2</v>
      </c>
      <c r="Q51">
        <v>529114711000</v>
      </c>
      <c r="R51">
        <v>674054031</v>
      </c>
      <c r="S51">
        <v>32750000</v>
      </c>
      <c r="T51">
        <v>3426909</v>
      </c>
      <c r="U51">
        <v>1.27392797249215E-3</v>
      </c>
      <c r="V51" s="1">
        <v>6.1895840956877095E-5</v>
      </c>
      <c r="W51">
        <v>154399.98873620501</v>
      </c>
      <c r="X51">
        <v>4.6470029016516497E-4</v>
      </c>
      <c r="Y51">
        <v>46.388841654591097</v>
      </c>
      <c r="AA51">
        <v>950</v>
      </c>
      <c r="AB51" t="s">
        <v>235</v>
      </c>
      <c r="AC51">
        <v>1</v>
      </c>
      <c r="AD51">
        <v>7437350664100</v>
      </c>
      <c r="AE51">
        <v>1276926970.25</v>
      </c>
      <c r="AF51">
        <v>326438809.64999998</v>
      </c>
      <c r="AG51">
        <v>38990043</v>
      </c>
      <c r="AH51">
        <v>1.7169110721290901E-4</v>
      </c>
      <c r="AI51" s="1">
        <v>4.3891813683831797E-5</v>
      </c>
      <c r="AJ51">
        <v>190749.99902154499</v>
      </c>
      <c r="AK51">
        <v>7.2728053552871203E-3</v>
      </c>
      <c r="AL51">
        <v>-11.7259764526222</v>
      </c>
      <c r="AN51" t="s">
        <v>322</v>
      </c>
      <c r="AP51">
        <v>962</v>
      </c>
      <c r="AQ51" s="2" t="s">
        <v>105</v>
      </c>
      <c r="AR51">
        <v>1</v>
      </c>
      <c r="AS51">
        <v>17277289621.900002</v>
      </c>
      <c r="AT51">
        <v>30467514000</v>
      </c>
      <c r="AU51">
        <v>2518817736.4099998</v>
      </c>
      <c r="AV51">
        <v>569039504</v>
      </c>
      <c r="AW51">
        <v>1.7634429164966099</v>
      </c>
      <c r="AX51">
        <v>0.14578778220035399</v>
      </c>
      <c r="AY51">
        <v>30.3621971769116</v>
      </c>
      <c r="AZ51">
        <v>2.62869181978308E-2</v>
      </c>
      <c r="BA51">
        <v>6.1677983033781496</v>
      </c>
      <c r="BC51">
        <v>466</v>
      </c>
      <c r="BD51" t="s">
        <v>146</v>
      </c>
      <c r="BE51">
        <v>3</v>
      </c>
      <c r="BF51">
        <v>121585237.02</v>
      </c>
      <c r="BG51">
        <v>198252853</v>
      </c>
      <c r="BH51">
        <v>24825763</v>
      </c>
      <c r="BI51">
        <v>3585636</v>
      </c>
      <c r="BJ51">
        <v>1.63056681764241</v>
      </c>
      <c r="BK51">
        <v>0.20418402438049499</v>
      </c>
      <c r="BL51">
        <v>33.908973755283498</v>
      </c>
      <c r="BM51">
        <v>1.79066320228279E-3</v>
      </c>
      <c r="BN51">
        <v>23.631595566623901</v>
      </c>
    </row>
    <row r="52" spans="1:66" x14ac:dyDescent="0.4">
      <c r="A52">
        <v>1079</v>
      </c>
      <c r="B52" t="s">
        <v>123</v>
      </c>
      <c r="C52">
        <v>1</v>
      </c>
      <c r="D52">
        <v>1641739889400</v>
      </c>
      <c r="E52">
        <v>1198802546</v>
      </c>
      <c r="F52">
        <v>174638866.38999999</v>
      </c>
      <c r="G52">
        <v>8862236</v>
      </c>
      <c r="H52">
        <v>7.3020248441311899E-4</v>
      </c>
      <c r="I52">
        <v>1.06374260330498E-4</v>
      </c>
      <c r="J52">
        <v>185251.20403022401</v>
      </c>
      <c r="K52">
        <v>1.4279662425885501E-3</v>
      </c>
      <c r="L52">
        <v>79.389356977353003</v>
      </c>
      <c r="N52">
        <v>385</v>
      </c>
      <c r="O52" t="s">
        <v>70</v>
      </c>
      <c r="P52">
        <v>2</v>
      </c>
      <c r="Q52">
        <v>557080730500</v>
      </c>
      <c r="R52">
        <v>825558854</v>
      </c>
      <c r="S52">
        <v>88935853.670000002</v>
      </c>
      <c r="T52">
        <v>8804923</v>
      </c>
      <c r="U52">
        <v>1.4819375519577399E-3</v>
      </c>
      <c r="V52">
        <v>1.59646257356948E-4</v>
      </c>
      <c r="W52">
        <v>63269.233643496897</v>
      </c>
      <c r="X52">
        <v>4.89261726667003E-4</v>
      </c>
      <c r="Y52">
        <v>45.209466088923698</v>
      </c>
      <c r="AA52">
        <v>1026</v>
      </c>
      <c r="AB52" t="s">
        <v>240</v>
      </c>
      <c r="AC52">
        <v>1</v>
      </c>
      <c r="AD52">
        <v>6787500000000</v>
      </c>
      <c r="AE52">
        <v>3250107537</v>
      </c>
      <c r="AF52">
        <v>594099401.78999996</v>
      </c>
      <c r="AG52">
        <v>112500000</v>
      </c>
      <c r="AH52">
        <v>4.7883720618784498E-4</v>
      </c>
      <c r="AI52" s="1">
        <v>8.7528456985635293E-5</v>
      </c>
      <c r="AJ52">
        <v>60333.333333333299</v>
      </c>
      <c r="AK52">
        <v>6.6373321063495803E-3</v>
      </c>
      <c r="AL52">
        <v>-12.274483479387801</v>
      </c>
      <c r="AN52" t="s">
        <v>323</v>
      </c>
      <c r="AP52">
        <v>357</v>
      </c>
      <c r="AQ52" s="2" t="s">
        <v>48</v>
      </c>
      <c r="AR52">
        <v>1</v>
      </c>
      <c r="AS52">
        <v>27973219858.5</v>
      </c>
      <c r="AT52">
        <v>64228955000</v>
      </c>
      <c r="AU52">
        <v>6806137767.8999996</v>
      </c>
      <c r="AV52">
        <v>828254487</v>
      </c>
      <c r="AW52">
        <v>2.2960873051045301</v>
      </c>
      <c r="AX52">
        <v>0.24330905781773501</v>
      </c>
      <c r="AY52">
        <v>33.773701558588698</v>
      </c>
      <c r="AZ52">
        <v>4.2560480158777399E-2</v>
      </c>
      <c r="BA52">
        <v>4.8472647463948997</v>
      </c>
      <c r="BC52">
        <v>941</v>
      </c>
      <c r="BD52" t="s">
        <v>230</v>
      </c>
      <c r="BE52">
        <v>3</v>
      </c>
      <c r="BF52">
        <v>126935582.40000001</v>
      </c>
      <c r="BG52">
        <v>196031337</v>
      </c>
      <c r="BH52">
        <v>36004253.359999999</v>
      </c>
      <c r="BI52">
        <v>10963439</v>
      </c>
      <c r="BJ52">
        <v>1.5443371613663399</v>
      </c>
      <c r="BK52">
        <v>0.28364192828566498</v>
      </c>
      <c r="BL52">
        <v>11.5780807828638</v>
      </c>
      <c r="BM52">
        <v>1.8694611454071999E-3</v>
      </c>
      <c r="BN52">
        <v>23.1281970253705</v>
      </c>
    </row>
    <row r="53" spans="1:66" x14ac:dyDescent="0.4">
      <c r="A53">
        <v>466</v>
      </c>
      <c r="B53" t="s">
        <v>146</v>
      </c>
      <c r="C53">
        <v>3</v>
      </c>
      <c r="D53">
        <v>185501449010</v>
      </c>
      <c r="E53">
        <v>198252853</v>
      </c>
      <c r="F53">
        <v>24825763</v>
      </c>
      <c r="G53">
        <v>3585636</v>
      </c>
      <c r="H53">
        <v>1.0687401853627101E-3</v>
      </c>
      <c r="I53">
        <v>1.3383056106834799E-4</v>
      </c>
      <c r="J53">
        <v>51734.601339901703</v>
      </c>
      <c r="K53">
        <v>1.6134700073246701E-4</v>
      </c>
      <c r="L53">
        <v>78.726247574636403</v>
      </c>
      <c r="N53">
        <v>812</v>
      </c>
      <c r="O53" t="s">
        <v>89</v>
      </c>
      <c r="P53">
        <v>2</v>
      </c>
      <c r="Q53">
        <v>565242966400</v>
      </c>
      <c r="R53">
        <v>715512928.15999997</v>
      </c>
      <c r="S53">
        <v>91500168.629999995</v>
      </c>
      <c r="T53">
        <v>10746064</v>
      </c>
      <c r="U53">
        <v>1.2658502107811399E-3</v>
      </c>
      <c r="V53" s="1">
        <v>1.6187758905300301E-4</v>
      </c>
      <c r="W53">
        <v>52600</v>
      </c>
      <c r="X53">
        <v>4.96430292031512E-4</v>
      </c>
      <c r="Y53">
        <v>44.881861675261902</v>
      </c>
      <c r="AA53">
        <v>927</v>
      </c>
      <c r="AB53" t="s">
        <v>257</v>
      </c>
      <c r="AC53">
        <v>1</v>
      </c>
      <c r="AD53">
        <v>6480026001000</v>
      </c>
      <c r="AE53">
        <v>1709092019</v>
      </c>
      <c r="AF53">
        <v>341344082.16000003</v>
      </c>
      <c r="AG53">
        <v>60064361</v>
      </c>
      <c r="AH53">
        <v>2.6374771007651001E-4</v>
      </c>
      <c r="AI53" s="1">
        <v>5.2676344525056401E-5</v>
      </c>
      <c r="AJ53">
        <v>107884.70722264001</v>
      </c>
      <c r="AK53">
        <v>6.3366607184408702E-3</v>
      </c>
      <c r="AL53">
        <v>-12.562317708211999</v>
      </c>
      <c r="AN53" t="s">
        <v>324</v>
      </c>
      <c r="AO53">
        <v>33</v>
      </c>
      <c r="AP53">
        <v>390</v>
      </c>
      <c r="AQ53" s="2" t="s">
        <v>192</v>
      </c>
      <c r="AR53">
        <v>1</v>
      </c>
      <c r="AS53">
        <v>182124874980</v>
      </c>
      <c r="AT53">
        <v>175638353000</v>
      </c>
      <c r="AU53">
        <v>25091958719.27</v>
      </c>
      <c r="AV53">
        <v>2671895561</v>
      </c>
      <c r="AW53">
        <v>0.96438420627213906</v>
      </c>
      <c r="AX53">
        <v>0.13777337511981999</v>
      </c>
      <c r="AY53">
        <v>68.163171359825398</v>
      </c>
      <c r="AZ53">
        <v>0.27709795894843198</v>
      </c>
      <c r="BA53">
        <v>1.89969262439173</v>
      </c>
      <c r="BC53">
        <v>833</v>
      </c>
      <c r="BD53" t="s">
        <v>93</v>
      </c>
      <c r="BE53">
        <v>3</v>
      </c>
      <c r="BF53">
        <v>137022765.30000001</v>
      </c>
      <c r="BG53">
        <v>409916392</v>
      </c>
      <c r="BH53">
        <v>46170967.5</v>
      </c>
      <c r="BI53">
        <v>8470000</v>
      </c>
      <c r="BJ53">
        <v>2.9915933392711902</v>
      </c>
      <c r="BK53">
        <v>0.33695836891711001</v>
      </c>
      <c r="BL53">
        <v>16.177422113341201</v>
      </c>
      <c r="BM53">
        <v>2.0180215107643402E-3</v>
      </c>
      <c r="BN53">
        <v>22.260612224815901</v>
      </c>
    </row>
    <row r="54" spans="1:66" x14ac:dyDescent="0.4">
      <c r="A54">
        <v>400</v>
      </c>
      <c r="B54" t="s">
        <v>63</v>
      </c>
      <c r="C54">
        <v>2</v>
      </c>
      <c r="D54">
        <v>1721497825500</v>
      </c>
      <c r="E54">
        <v>1549773385</v>
      </c>
      <c r="F54">
        <v>178390981.30000001</v>
      </c>
      <c r="G54">
        <v>6319995</v>
      </c>
      <c r="H54">
        <v>9.00247076728009E-4</v>
      </c>
      <c r="I54">
        <v>1.03625446781024E-4</v>
      </c>
      <c r="J54">
        <v>272389.11193758802</v>
      </c>
      <c r="K54">
        <v>1.4973387668627599E-3</v>
      </c>
      <c r="L54">
        <v>77.528471233989805</v>
      </c>
      <c r="N54">
        <v>895</v>
      </c>
      <c r="O54" t="s">
        <v>195</v>
      </c>
      <c r="P54">
        <v>2</v>
      </c>
      <c r="Q54">
        <v>568344000000</v>
      </c>
      <c r="R54">
        <v>459157853</v>
      </c>
      <c r="S54">
        <v>33485821</v>
      </c>
      <c r="T54">
        <v>4284000</v>
      </c>
      <c r="U54">
        <v>8.0788721795250703E-4</v>
      </c>
      <c r="V54" s="1">
        <v>5.8918227341187699E-5</v>
      </c>
      <c r="W54">
        <v>132666.66666666599</v>
      </c>
      <c r="X54">
        <v>4.9915380582497295E-4</v>
      </c>
      <c r="Y54">
        <v>44.759250605520599</v>
      </c>
      <c r="AA54">
        <v>886</v>
      </c>
      <c r="AB54" s="2" t="s">
        <v>217</v>
      </c>
      <c r="AC54">
        <v>1</v>
      </c>
      <c r="AD54">
        <v>5804530439100</v>
      </c>
      <c r="AE54">
        <v>6650265791</v>
      </c>
      <c r="AF54">
        <v>352339212.5</v>
      </c>
      <c r="AG54">
        <v>173101043</v>
      </c>
      <c r="AH54">
        <v>1.1457026301736699E-3</v>
      </c>
      <c r="AI54" s="1">
        <v>6.0700726130506802E-5</v>
      </c>
      <c r="AJ54">
        <v>33532.613891298097</v>
      </c>
      <c r="AK54">
        <v>5.6761099441210898E-3</v>
      </c>
      <c r="AL54">
        <v>-13.2731682800339</v>
      </c>
      <c r="AN54" t="s">
        <v>325</v>
      </c>
      <c r="AP54">
        <v>48</v>
      </c>
      <c r="AQ54" t="s">
        <v>205</v>
      </c>
      <c r="AR54">
        <v>1</v>
      </c>
      <c r="AS54">
        <v>22506945372.599998</v>
      </c>
      <c r="AT54">
        <v>21697159000</v>
      </c>
      <c r="AU54">
        <v>2398063114.04</v>
      </c>
      <c r="AV54">
        <v>353000898</v>
      </c>
      <c r="AW54">
        <v>0.96402060078815299</v>
      </c>
      <c r="AX54">
        <v>0.106547693360441</v>
      </c>
      <c r="AY54">
        <v>63.758889850189497</v>
      </c>
      <c r="AZ54">
        <v>3.4243694748431197E-2</v>
      </c>
      <c r="BA54">
        <v>-5.4039297105260804</v>
      </c>
      <c r="BC54">
        <v>224</v>
      </c>
      <c r="BD54" t="s">
        <v>83</v>
      </c>
      <c r="BE54">
        <v>2</v>
      </c>
      <c r="BF54">
        <v>138988375</v>
      </c>
      <c r="BG54">
        <v>667132978</v>
      </c>
      <c r="BH54">
        <v>24000000</v>
      </c>
      <c r="BI54">
        <v>5847970</v>
      </c>
      <c r="BJ54">
        <v>4.7999192594344597</v>
      </c>
      <c r="BK54">
        <v>0.17267631195774399</v>
      </c>
      <c r="BL54">
        <v>23.7669439138709</v>
      </c>
      <c r="BM54">
        <v>2.0469702963743998E-3</v>
      </c>
      <c r="BN54">
        <v>22.102644049329299</v>
      </c>
    </row>
    <row r="55" spans="1:66" x14ac:dyDescent="0.4">
      <c r="A55">
        <v>921</v>
      </c>
      <c r="B55" t="s">
        <v>150</v>
      </c>
      <c r="C55">
        <v>3</v>
      </c>
      <c r="D55">
        <v>192874000000</v>
      </c>
      <c r="E55">
        <v>111811691</v>
      </c>
      <c r="F55">
        <v>24975000</v>
      </c>
      <c r="G55">
        <v>1439224</v>
      </c>
      <c r="H55">
        <v>5.79713652436305E-4</v>
      </c>
      <c r="I55">
        <v>1.2948868173004099E-4</v>
      </c>
      <c r="J55">
        <v>134012.495622641</v>
      </c>
      <c r="K55">
        <v>1.6775955975199E-4</v>
      </c>
      <c r="L55">
        <v>77.206943741455206</v>
      </c>
      <c r="N55">
        <v>884</v>
      </c>
      <c r="O55" t="s">
        <v>180</v>
      </c>
      <c r="P55">
        <v>2</v>
      </c>
      <c r="Q55">
        <v>572696535600</v>
      </c>
      <c r="R55">
        <v>302328579</v>
      </c>
      <c r="S55">
        <v>63756250</v>
      </c>
      <c r="T55">
        <v>4810212</v>
      </c>
      <c r="U55">
        <v>5.27903628198584E-4</v>
      </c>
      <c r="V55">
        <v>1.11326411173771E-4</v>
      </c>
      <c r="W55">
        <v>119058.481330968</v>
      </c>
      <c r="X55">
        <v>5.0297646377461098E-4</v>
      </c>
      <c r="Y55">
        <v>44.588839412785802</v>
      </c>
      <c r="AA55">
        <v>134</v>
      </c>
      <c r="AB55" t="s">
        <v>244</v>
      </c>
      <c r="AC55">
        <v>1</v>
      </c>
      <c r="AD55">
        <v>4968863273000</v>
      </c>
      <c r="AE55">
        <v>1397520037</v>
      </c>
      <c r="AF55">
        <v>227483513.46000001</v>
      </c>
      <c r="AG55">
        <v>31507542</v>
      </c>
      <c r="AH55">
        <v>2.8125548243476402E-4</v>
      </c>
      <c r="AI55" s="1">
        <v>4.5781801784747903E-5</v>
      </c>
      <c r="AJ55">
        <v>157703.93237911101</v>
      </c>
      <c r="AK55">
        <v>4.8589312315203198E-3</v>
      </c>
      <c r="AL55">
        <v>-14.345960269202999</v>
      </c>
      <c r="AN55" t="s">
        <v>326</v>
      </c>
      <c r="AP55">
        <v>364</v>
      </c>
      <c r="AQ55" s="2" t="s">
        <v>100</v>
      </c>
      <c r="AR55">
        <v>1</v>
      </c>
      <c r="AS55">
        <v>16057166205</v>
      </c>
      <c r="AT55">
        <v>41500566100</v>
      </c>
      <c r="AU55">
        <v>1785501474.24</v>
      </c>
      <c r="AV55">
        <v>599968175</v>
      </c>
      <c r="AW55">
        <v>2.5845510702303902</v>
      </c>
      <c r="AX55">
        <v>0.111196549344056</v>
      </c>
      <c r="AY55">
        <v>26.763363248392299</v>
      </c>
      <c r="AZ55">
        <v>2.4430534172719901E-2</v>
      </c>
      <c r="BA55">
        <v>-6.3978421167619102</v>
      </c>
      <c r="BC55">
        <v>382</v>
      </c>
      <c r="BD55" t="s">
        <v>54</v>
      </c>
      <c r="BE55">
        <v>3</v>
      </c>
      <c r="BF55">
        <v>143839685</v>
      </c>
      <c r="BG55">
        <v>597646265</v>
      </c>
      <c r="BH55">
        <v>61900000</v>
      </c>
      <c r="BI55">
        <v>7790334</v>
      </c>
      <c r="BJ55">
        <v>4.1549469814258799</v>
      </c>
      <c r="BK55">
        <v>0.43034020826727998</v>
      </c>
      <c r="BL55">
        <v>18.463866247583201</v>
      </c>
      <c r="BM55">
        <v>2.1184186277078999E-3</v>
      </c>
      <c r="BN55">
        <v>21.726716958379999</v>
      </c>
    </row>
    <row r="56" spans="1:66" x14ac:dyDescent="0.4">
      <c r="A56">
        <v>1033</v>
      </c>
      <c r="B56" t="s">
        <v>136</v>
      </c>
      <c r="C56">
        <v>3</v>
      </c>
      <c r="D56">
        <v>198024564940</v>
      </c>
      <c r="E56">
        <v>271469147</v>
      </c>
      <c r="F56">
        <v>22950000</v>
      </c>
      <c r="G56">
        <v>4000000</v>
      </c>
      <c r="H56">
        <v>1.3708862184964401E-3</v>
      </c>
      <c r="I56">
        <v>1.15894712390625E-4</v>
      </c>
      <c r="J56">
        <v>49506.141235000003</v>
      </c>
      <c r="K56">
        <v>1.72239461173687E-4</v>
      </c>
      <c r="L56">
        <v>76.196262781642005</v>
      </c>
      <c r="N56">
        <v>1041</v>
      </c>
      <c r="O56" t="s">
        <v>134</v>
      </c>
      <c r="P56">
        <v>2</v>
      </c>
      <c r="Q56">
        <v>647666000000</v>
      </c>
      <c r="R56">
        <v>1028964864</v>
      </c>
      <c r="S56">
        <v>64734129.130000003</v>
      </c>
      <c r="T56">
        <v>14620000</v>
      </c>
      <c r="U56">
        <v>1.5887276219532899E-3</v>
      </c>
      <c r="V56" s="1">
        <v>9.9949864791420198E-5</v>
      </c>
      <c r="W56">
        <v>44300</v>
      </c>
      <c r="X56">
        <v>5.6881914615697002E-4</v>
      </c>
      <c r="Y56">
        <v>41.928844782837402</v>
      </c>
      <c r="AA56">
        <v>852</v>
      </c>
      <c r="AB56" t="s">
        <v>251</v>
      </c>
      <c r="AC56">
        <v>1</v>
      </c>
      <c r="AD56">
        <v>4781375052000</v>
      </c>
      <c r="AE56">
        <v>823749217</v>
      </c>
      <c r="AF56">
        <v>198656573.28999999</v>
      </c>
      <c r="AG56">
        <v>29728393</v>
      </c>
      <c r="AH56">
        <v>1.7228291193250599E-4</v>
      </c>
      <c r="AI56" s="1">
        <v>4.1548000549947203E-5</v>
      </c>
      <c r="AJ56">
        <v>160835.301524707</v>
      </c>
      <c r="AK56">
        <v>4.67559103427455E-3</v>
      </c>
      <c r="AL56">
        <v>-14.624524063099001</v>
      </c>
      <c r="AN56" t="s">
        <v>327</v>
      </c>
      <c r="AP56">
        <v>776</v>
      </c>
      <c r="AQ56" s="2" t="s">
        <v>236</v>
      </c>
      <c r="AR56">
        <v>1</v>
      </c>
      <c r="AS56">
        <v>11355195980</v>
      </c>
      <c r="AT56">
        <v>15218121000</v>
      </c>
      <c r="AU56">
        <v>1413324110.0599999</v>
      </c>
      <c r="AV56">
        <v>706091600</v>
      </c>
      <c r="AW56">
        <v>1.34019007922045</v>
      </c>
      <c r="AX56">
        <v>0.124464968508628</v>
      </c>
      <c r="AY56">
        <v>16.0817604684717</v>
      </c>
      <c r="AZ56">
        <v>1.7276616551489599E-2</v>
      </c>
      <c r="BA56">
        <v>-7.6080026084415699</v>
      </c>
      <c r="BC56">
        <v>392</v>
      </c>
      <c r="BD56" t="s">
        <v>80</v>
      </c>
      <c r="BE56">
        <v>3</v>
      </c>
      <c r="BF56">
        <v>153927385.65000001</v>
      </c>
      <c r="BG56">
        <v>307022776</v>
      </c>
      <c r="BH56">
        <v>48808333.329999998</v>
      </c>
      <c r="BI56">
        <v>4378924</v>
      </c>
      <c r="BJ56">
        <v>1.99459488448734</v>
      </c>
      <c r="BK56">
        <v>0.31708674271243897</v>
      </c>
      <c r="BL56">
        <v>35.151874216131603</v>
      </c>
      <c r="BM56">
        <v>2.2669866182989601E-3</v>
      </c>
      <c r="BN56">
        <v>21.002718991940998</v>
      </c>
    </row>
    <row r="57" spans="1:66" x14ac:dyDescent="0.4">
      <c r="A57">
        <v>284</v>
      </c>
      <c r="B57" t="s">
        <v>35</v>
      </c>
      <c r="C57">
        <v>1</v>
      </c>
      <c r="D57">
        <v>1786900351500</v>
      </c>
      <c r="E57">
        <v>3177905489</v>
      </c>
      <c r="F57">
        <v>258760282.28</v>
      </c>
      <c r="G57">
        <v>12295510</v>
      </c>
      <c r="H57">
        <v>1.7784458357357901E-3</v>
      </c>
      <c r="I57">
        <v>1.4480957601400901E-4</v>
      </c>
      <c r="J57">
        <v>145329.502517585</v>
      </c>
      <c r="K57">
        <v>1.55422512255834E-3</v>
      </c>
      <c r="L57">
        <v>76.0964317020984</v>
      </c>
      <c r="N57">
        <v>976</v>
      </c>
      <c r="O57" t="s">
        <v>140</v>
      </c>
      <c r="P57">
        <v>2</v>
      </c>
      <c r="Q57">
        <v>696061273600</v>
      </c>
      <c r="R57">
        <v>675920851</v>
      </c>
      <c r="S57">
        <v>103050825.40000001</v>
      </c>
      <c r="T57">
        <v>14335386</v>
      </c>
      <c r="U57">
        <v>9.7106515853721505E-4</v>
      </c>
      <c r="V57" s="1">
        <v>1.4804849703392499E-4</v>
      </c>
      <c r="W57">
        <v>48555.460843537803</v>
      </c>
      <c r="X57">
        <v>6.1132277952229304E-4</v>
      </c>
      <c r="Y57">
        <v>40.444987959931701</v>
      </c>
      <c r="AA57">
        <v>170</v>
      </c>
      <c r="AB57" s="2" t="s">
        <v>186</v>
      </c>
      <c r="AC57">
        <v>1</v>
      </c>
      <c r="AD57">
        <v>4175100891500</v>
      </c>
      <c r="AE57">
        <v>5728709146</v>
      </c>
      <c r="AF57">
        <v>290856349.63</v>
      </c>
      <c r="AG57">
        <v>88501032</v>
      </c>
      <c r="AH57">
        <v>1.37211274526633E-3</v>
      </c>
      <c r="AI57" s="1">
        <v>6.9664508041505799E-5</v>
      </c>
      <c r="AJ57">
        <v>47175.7311428865</v>
      </c>
      <c r="AK57">
        <v>4.0827301943869897E-3</v>
      </c>
      <c r="AL57">
        <v>-15.6503718100277</v>
      </c>
      <c r="AN57" t="s">
        <v>328</v>
      </c>
      <c r="AP57">
        <v>927</v>
      </c>
      <c r="AQ57" t="s">
        <v>257</v>
      </c>
      <c r="AR57">
        <v>1</v>
      </c>
      <c r="AS57">
        <v>5443560046.5</v>
      </c>
      <c r="AT57">
        <v>1709092019</v>
      </c>
      <c r="AU57">
        <v>341344082.16000003</v>
      </c>
      <c r="AV57">
        <v>60064361</v>
      </c>
      <c r="AW57">
        <v>0.31396586138493698</v>
      </c>
      <c r="AX57">
        <v>6.2706037821603694E-2</v>
      </c>
      <c r="AY57">
        <v>90.628784788037606</v>
      </c>
      <c r="AZ57">
        <v>8.2822260191751807E-3</v>
      </c>
      <c r="BA57">
        <v>-10.988197606425899</v>
      </c>
      <c r="BC57">
        <v>1030</v>
      </c>
      <c r="BD57" t="s">
        <v>121</v>
      </c>
      <c r="BE57">
        <v>3</v>
      </c>
      <c r="BF57">
        <v>159991800</v>
      </c>
      <c r="BG57">
        <v>240323157</v>
      </c>
      <c r="BH57">
        <v>53183333.329999998</v>
      </c>
      <c r="BI57">
        <v>4147000</v>
      </c>
      <c r="BJ57">
        <v>1.5020967137065699</v>
      </c>
      <c r="BK57">
        <v>0.33241286947206</v>
      </c>
      <c r="BL57">
        <v>38.5801302146129</v>
      </c>
      <c r="BM57">
        <v>2.35630110981205E-3</v>
      </c>
      <c r="BN57">
        <v>20.6008246782323</v>
      </c>
    </row>
    <row r="58" spans="1:66" x14ac:dyDescent="0.4">
      <c r="A58">
        <v>49</v>
      </c>
      <c r="B58" t="s">
        <v>88</v>
      </c>
      <c r="C58">
        <v>2</v>
      </c>
      <c r="D58">
        <v>1943352200000</v>
      </c>
      <c r="E58">
        <v>2640619982</v>
      </c>
      <c r="F58">
        <v>228625000</v>
      </c>
      <c r="G58">
        <v>16771307</v>
      </c>
      <c r="H58">
        <v>1.35879640448087E-3</v>
      </c>
      <c r="I58">
        <v>1.1764465545668899E-4</v>
      </c>
      <c r="J58">
        <v>115873.628692146</v>
      </c>
      <c r="K58">
        <v>1.6903051189639999E-3</v>
      </c>
      <c r="L58">
        <v>72.969051555191001</v>
      </c>
      <c r="N58">
        <v>970</v>
      </c>
      <c r="O58" t="s">
        <v>130</v>
      </c>
      <c r="P58">
        <v>2</v>
      </c>
      <c r="Q58">
        <v>730261911600</v>
      </c>
      <c r="R58">
        <v>976565768</v>
      </c>
      <c r="S58">
        <v>86123485.189999998</v>
      </c>
      <c r="T58">
        <v>12802906</v>
      </c>
      <c r="U58">
        <v>1.3372815321291301E-3</v>
      </c>
      <c r="V58" s="1">
        <v>1.1793506387496399E-4</v>
      </c>
      <c r="W58">
        <v>57038.762262255099</v>
      </c>
      <c r="X58">
        <v>6.4135983211604305E-4</v>
      </c>
      <c r="Y58">
        <v>39.486543737572099</v>
      </c>
      <c r="AA58">
        <v>664</v>
      </c>
      <c r="AB58" t="s">
        <v>264</v>
      </c>
      <c r="AC58">
        <v>1</v>
      </c>
      <c r="AD58">
        <v>3856916567000</v>
      </c>
      <c r="AE58">
        <v>1029910617</v>
      </c>
      <c r="AF58">
        <v>179276420.56</v>
      </c>
      <c r="AG58">
        <v>40572287</v>
      </c>
      <c r="AH58">
        <v>2.6702952970566503E-4</v>
      </c>
      <c r="AI58" s="1">
        <v>4.6481798982612003E-5</v>
      </c>
      <c r="AJ58">
        <v>95062.833578989506</v>
      </c>
      <c r="AK58">
        <v>3.7715854381820501E-3</v>
      </c>
      <c r="AL58">
        <v>-16.283135049552701</v>
      </c>
      <c r="AN58" t="s">
        <v>329</v>
      </c>
      <c r="AP58">
        <v>783</v>
      </c>
      <c r="AQ58" t="s">
        <v>147</v>
      </c>
      <c r="AR58">
        <v>1</v>
      </c>
      <c r="AS58">
        <v>5147219308</v>
      </c>
      <c r="AT58">
        <v>4787042075</v>
      </c>
      <c r="AU58">
        <v>568171938.03999996</v>
      </c>
      <c r="AV58">
        <v>38675093</v>
      </c>
      <c r="AW58">
        <v>0.93002489082984996</v>
      </c>
      <c r="AX58">
        <v>0.11038424905597501</v>
      </c>
      <c r="AY58">
        <v>133.088737705168</v>
      </c>
      <c r="AZ58">
        <v>7.8313517835682193E-3</v>
      </c>
      <c r="BA58">
        <v>-11.3000830036869</v>
      </c>
      <c r="BC58">
        <v>1059</v>
      </c>
      <c r="BD58" t="s">
        <v>95</v>
      </c>
      <c r="BE58">
        <v>3</v>
      </c>
      <c r="BF58">
        <v>160595586.40000001</v>
      </c>
      <c r="BG58">
        <v>278472574</v>
      </c>
      <c r="BH58">
        <v>62755793.939999998</v>
      </c>
      <c r="BI58">
        <v>8709100</v>
      </c>
      <c r="BJ58">
        <v>1.7339989238957001</v>
      </c>
      <c r="BK58">
        <v>0.390769107338307</v>
      </c>
      <c r="BL58">
        <v>18.439975014639799</v>
      </c>
      <c r="BM58">
        <v>2.36519345657238E-3</v>
      </c>
      <c r="BN58">
        <v>20.5620620595347</v>
      </c>
    </row>
    <row r="59" spans="1:66" x14ac:dyDescent="0.4">
      <c r="A59">
        <v>27</v>
      </c>
      <c r="B59" t="s">
        <v>117</v>
      </c>
      <c r="C59">
        <v>3</v>
      </c>
      <c r="D59">
        <v>230645426600</v>
      </c>
      <c r="E59">
        <v>347847383</v>
      </c>
      <c r="F59">
        <v>27000000</v>
      </c>
      <c r="G59">
        <v>4056827</v>
      </c>
      <c r="H59">
        <v>1.5081477579143899E-3</v>
      </c>
      <c r="I59">
        <v>1.17062802406332E-4</v>
      </c>
      <c r="J59">
        <v>56853.651043044199</v>
      </c>
      <c r="K59">
        <v>2.00612706871979E-4</v>
      </c>
      <c r="L59">
        <v>70.602614052833701</v>
      </c>
      <c r="N59">
        <v>275</v>
      </c>
      <c r="O59" s="2" t="s">
        <v>34</v>
      </c>
      <c r="P59">
        <v>1</v>
      </c>
      <c r="Q59">
        <v>6779045878000</v>
      </c>
      <c r="R59">
        <v>15577184456</v>
      </c>
      <c r="S59">
        <v>959463157.59000003</v>
      </c>
      <c r="T59">
        <v>97771862</v>
      </c>
      <c r="U59">
        <v>2.2978431974553402E-3</v>
      </c>
      <c r="V59">
        <v>1.4153365751716401E-4</v>
      </c>
      <c r="W59">
        <v>69335.345971011498</v>
      </c>
      <c r="X59">
        <v>5.9537648851149998E-3</v>
      </c>
      <c r="Y59">
        <v>38.879924648295898</v>
      </c>
      <c r="AA59">
        <v>9</v>
      </c>
      <c r="AB59" t="s">
        <v>227</v>
      </c>
      <c r="AC59">
        <v>1</v>
      </c>
      <c r="AD59">
        <v>3137227261000</v>
      </c>
      <c r="AE59">
        <v>1433630369</v>
      </c>
      <c r="AF59">
        <v>135887500</v>
      </c>
      <c r="AG59">
        <v>20074690</v>
      </c>
      <c r="AH59">
        <v>4.5697370631129402E-4</v>
      </c>
      <c r="AI59" s="1">
        <v>4.3314522250034701E-5</v>
      </c>
      <c r="AJ59">
        <v>156277.74381571999</v>
      </c>
      <c r="AK59">
        <v>3.0678186702542101E-3</v>
      </c>
      <c r="AL59">
        <v>-18.054487167039198</v>
      </c>
      <c r="AN59" t="s">
        <v>330</v>
      </c>
      <c r="AP59">
        <v>1026</v>
      </c>
      <c r="AQ59" t="s">
        <v>240</v>
      </c>
      <c r="AR59">
        <v>1</v>
      </c>
      <c r="AS59">
        <v>3300439070</v>
      </c>
      <c r="AT59">
        <v>3250107537</v>
      </c>
      <c r="AU59">
        <v>594099401.78999996</v>
      </c>
      <c r="AV59">
        <v>112500000</v>
      </c>
      <c r="AW59">
        <v>0.984750049332072</v>
      </c>
      <c r="AX59">
        <v>0.18000617166066901</v>
      </c>
      <c r="AY59">
        <v>29.337236177777701</v>
      </c>
      <c r="AZ59">
        <v>5.0215267410950396E-3</v>
      </c>
      <c r="BA59">
        <v>-14.111790165265001</v>
      </c>
      <c r="BC59">
        <v>1069</v>
      </c>
      <c r="BD59" t="s">
        <v>45</v>
      </c>
      <c r="BE59">
        <v>2</v>
      </c>
      <c r="BF59">
        <v>166551459.90000001</v>
      </c>
      <c r="BG59">
        <v>753074771</v>
      </c>
      <c r="BH59">
        <v>63772962.640000001</v>
      </c>
      <c r="BI59">
        <v>8286143</v>
      </c>
      <c r="BJ59">
        <v>4.5215741216087597</v>
      </c>
      <c r="BK59">
        <v>0.38290245356174102</v>
      </c>
      <c r="BL59">
        <v>20.099998262158799</v>
      </c>
      <c r="BM59">
        <v>2.4529093978765599E-3</v>
      </c>
      <c r="BN59">
        <v>20.1910659084093</v>
      </c>
    </row>
    <row r="60" spans="1:66" x14ac:dyDescent="0.4">
      <c r="A60">
        <v>22</v>
      </c>
      <c r="B60" t="s">
        <v>144</v>
      </c>
      <c r="C60">
        <v>2</v>
      </c>
      <c r="D60">
        <v>2134812970350</v>
      </c>
      <c r="E60">
        <v>2648970036</v>
      </c>
      <c r="F60">
        <v>221633333.33000001</v>
      </c>
      <c r="G60">
        <v>27508525</v>
      </c>
      <c r="H60">
        <v>1.2408440799222299E-3</v>
      </c>
      <c r="I60">
        <v>1.0381861849643101E-4</v>
      </c>
      <c r="J60">
        <v>77605.504851677804</v>
      </c>
      <c r="K60">
        <v>1.8568354680193E-3</v>
      </c>
      <c r="L60">
        <v>69.620084033667496</v>
      </c>
      <c r="N60">
        <v>245</v>
      </c>
      <c r="O60" t="s">
        <v>53</v>
      </c>
      <c r="P60">
        <v>2</v>
      </c>
      <c r="Q60">
        <v>804800700000</v>
      </c>
      <c r="R60">
        <v>1739637871</v>
      </c>
      <c r="S60">
        <v>111250000</v>
      </c>
      <c r="T60">
        <v>20335117</v>
      </c>
      <c r="U60">
        <v>2.1615759914224699E-3</v>
      </c>
      <c r="V60" s="1">
        <v>1.38232981159186E-4</v>
      </c>
      <c r="W60">
        <v>39576.890558337996</v>
      </c>
      <c r="X60">
        <v>7.0682426899131999E-4</v>
      </c>
      <c r="Y60">
        <v>37.6135455999488</v>
      </c>
      <c r="AA60">
        <v>452</v>
      </c>
      <c r="AB60" t="s">
        <v>237</v>
      </c>
      <c r="AC60">
        <v>1</v>
      </c>
      <c r="AD60">
        <v>2580000000000</v>
      </c>
      <c r="AE60">
        <v>990953848</v>
      </c>
      <c r="AF60">
        <v>125925547.88</v>
      </c>
      <c r="AG60">
        <v>17559984</v>
      </c>
      <c r="AH60">
        <v>3.8409063875968899E-4</v>
      </c>
      <c r="AI60" s="1">
        <v>4.88083518914728E-5</v>
      </c>
      <c r="AJ60">
        <v>146924.963029579</v>
      </c>
      <c r="AK60">
        <v>2.5229196072754198E-3</v>
      </c>
      <c r="AL60">
        <v>-19.9089471633473</v>
      </c>
      <c r="AN60" t="s">
        <v>331</v>
      </c>
      <c r="AP60">
        <v>134</v>
      </c>
      <c r="AQ60" t="s">
        <v>244</v>
      </c>
      <c r="AR60">
        <v>1</v>
      </c>
      <c r="AS60">
        <v>2954578242</v>
      </c>
      <c r="AT60">
        <v>1397520037</v>
      </c>
      <c r="AU60">
        <v>227483513.46000001</v>
      </c>
      <c r="AV60">
        <v>31507542</v>
      </c>
      <c r="AW60">
        <v>0.473001532717575</v>
      </c>
      <c r="AX60">
        <v>7.6993565520205295E-2</v>
      </c>
      <c r="AY60">
        <v>93.773682567811804</v>
      </c>
      <c r="AZ60">
        <v>4.4953090592460398E-3</v>
      </c>
      <c r="BA60">
        <v>-14.9148957539142</v>
      </c>
      <c r="BC60">
        <v>1080</v>
      </c>
      <c r="BD60" t="s">
        <v>212</v>
      </c>
      <c r="BE60">
        <v>2</v>
      </c>
      <c r="BF60">
        <v>170397192.25</v>
      </c>
      <c r="BG60">
        <v>333624506</v>
      </c>
      <c r="BH60">
        <v>28754500.670000002</v>
      </c>
      <c r="BI60">
        <v>4898520</v>
      </c>
      <c r="BJ60">
        <v>1.9579225549122801</v>
      </c>
      <c r="BK60">
        <v>0.168749850219436</v>
      </c>
      <c r="BL60">
        <v>34.785443817724499</v>
      </c>
      <c r="BM60">
        <v>2.5095479468793601E-3</v>
      </c>
      <c r="BN60">
        <v>19.961917261420599</v>
      </c>
    </row>
    <row r="61" spans="1:66" x14ac:dyDescent="0.4">
      <c r="A61">
        <v>1089</v>
      </c>
      <c r="B61" t="s">
        <v>107</v>
      </c>
      <c r="C61">
        <v>2</v>
      </c>
      <c r="D61">
        <v>2180212882800</v>
      </c>
      <c r="E61">
        <v>1947141685</v>
      </c>
      <c r="F61">
        <v>251102269.18000001</v>
      </c>
      <c r="G61">
        <v>12559609</v>
      </c>
      <c r="H61">
        <v>8.9309704587165199E-4</v>
      </c>
      <c r="I61">
        <v>1.15173280169556E-4</v>
      </c>
      <c r="J61">
        <v>173589.23218071499</v>
      </c>
      <c r="K61">
        <v>1.8963237833204299E-3</v>
      </c>
      <c r="L61">
        <v>68.891399723364302</v>
      </c>
      <c r="N61">
        <v>1116</v>
      </c>
      <c r="O61" s="2" t="s">
        <v>139</v>
      </c>
      <c r="P61">
        <v>1</v>
      </c>
      <c r="Q61">
        <v>7358179098600</v>
      </c>
      <c r="R61">
        <v>5483825614</v>
      </c>
      <c r="S61">
        <v>830817650</v>
      </c>
      <c r="T61">
        <v>49541072</v>
      </c>
      <c r="U61">
        <v>7.4526938533520798E-4</v>
      </c>
      <c r="V61" s="1">
        <v>1.12910767578092E-4</v>
      </c>
      <c r="W61">
        <v>148526.84452609299</v>
      </c>
      <c r="X61">
        <v>6.4623944319073699E-3</v>
      </c>
      <c r="Y61">
        <v>37.318529623712699</v>
      </c>
      <c r="AA61">
        <v>507</v>
      </c>
      <c r="AB61" t="s">
        <v>229</v>
      </c>
      <c r="AC61">
        <v>1</v>
      </c>
      <c r="AD61">
        <v>2404097759150</v>
      </c>
      <c r="AE61">
        <v>648134480</v>
      </c>
      <c r="AF61">
        <v>109135979.41</v>
      </c>
      <c r="AG61">
        <v>13514592</v>
      </c>
      <c r="AH61">
        <v>2.6959572568677702E-4</v>
      </c>
      <c r="AI61" s="1">
        <v>4.5395815954084303E-5</v>
      </c>
      <c r="AJ61">
        <v>177889.03720881799</v>
      </c>
      <c r="AK61">
        <v>2.3509090598319501E-3</v>
      </c>
      <c r="AL61">
        <v>-20.624436194605799</v>
      </c>
      <c r="AN61" t="s">
        <v>332</v>
      </c>
      <c r="AP61">
        <v>664</v>
      </c>
      <c r="AQ61" t="s">
        <v>264</v>
      </c>
      <c r="AR61">
        <v>1</v>
      </c>
      <c r="AS61">
        <v>2442379884</v>
      </c>
      <c r="AT61">
        <v>1029910617</v>
      </c>
      <c r="AU61">
        <v>179276420.56</v>
      </c>
      <c r="AV61">
        <v>40572287</v>
      </c>
      <c r="AW61">
        <v>0.42168322124945901</v>
      </c>
      <c r="AX61">
        <v>7.3402348968904296E-2</v>
      </c>
      <c r="AY61">
        <v>60.198230481806398</v>
      </c>
      <c r="AZ61">
        <v>3.7160134270918699E-3</v>
      </c>
      <c r="BA61">
        <v>-16.404438235915599</v>
      </c>
      <c r="BC61">
        <v>622</v>
      </c>
      <c r="BD61" t="s">
        <v>60</v>
      </c>
      <c r="BE61">
        <v>3</v>
      </c>
      <c r="BF61">
        <v>208358557.59999999</v>
      </c>
      <c r="BG61">
        <v>491915642</v>
      </c>
      <c r="BH61">
        <v>49250000</v>
      </c>
      <c r="BI61">
        <v>9918250</v>
      </c>
      <c r="BJ61">
        <v>2.3609092310206998</v>
      </c>
      <c r="BK61">
        <v>0.23637138098521701</v>
      </c>
      <c r="BL61">
        <v>21.0075928313966</v>
      </c>
      <c r="BM61">
        <v>3.06862914544195E-3</v>
      </c>
      <c r="BN61">
        <v>18.052102766791599</v>
      </c>
    </row>
    <row r="62" spans="1:66" x14ac:dyDescent="0.4">
      <c r="A62">
        <v>623</v>
      </c>
      <c r="B62" t="s">
        <v>187</v>
      </c>
      <c r="C62">
        <v>2</v>
      </c>
      <c r="D62">
        <v>2213442163100</v>
      </c>
      <c r="E62">
        <v>1607455021</v>
      </c>
      <c r="F62">
        <v>202904612.38</v>
      </c>
      <c r="G62">
        <v>19900131</v>
      </c>
      <c r="H62">
        <v>7.2622409015137999E-4</v>
      </c>
      <c r="I62" s="1">
        <v>9.1669263269036704E-5</v>
      </c>
      <c r="J62">
        <v>111227.517200766</v>
      </c>
      <c r="K62">
        <v>1.92522622446856E-3</v>
      </c>
      <c r="L62">
        <v>68.372328462986403</v>
      </c>
      <c r="N62">
        <v>1031</v>
      </c>
      <c r="O62" t="s">
        <v>246</v>
      </c>
      <c r="P62">
        <v>2</v>
      </c>
      <c r="Q62">
        <v>841290559200</v>
      </c>
      <c r="R62">
        <v>238169048</v>
      </c>
      <c r="S62">
        <v>72214472.079999998</v>
      </c>
      <c r="T62">
        <v>10362703</v>
      </c>
      <c r="U62">
        <v>2.8309963233924703E-4</v>
      </c>
      <c r="V62" s="1">
        <v>8.5837730247050598E-5</v>
      </c>
      <c r="W62">
        <v>81184.470808436701</v>
      </c>
      <c r="X62">
        <v>7.3887185301384402E-4</v>
      </c>
      <c r="Y62">
        <v>36.788784473964903</v>
      </c>
      <c r="AA62">
        <v>410</v>
      </c>
      <c r="AB62" t="s">
        <v>258</v>
      </c>
      <c r="AC62">
        <v>1</v>
      </c>
      <c r="AD62">
        <v>2121106647000</v>
      </c>
      <c r="AE62">
        <v>982927563</v>
      </c>
      <c r="AF62">
        <v>75339474.540000007</v>
      </c>
      <c r="AG62">
        <v>20235562</v>
      </c>
      <c r="AH62">
        <v>4.6340317889730299E-4</v>
      </c>
      <c r="AI62" s="1">
        <v>3.55189469829613E-5</v>
      </c>
      <c r="AJ62">
        <v>104820.743155045</v>
      </c>
      <c r="AK62">
        <v>2.0741788948986498E-3</v>
      </c>
      <c r="AL62">
        <v>-21.957196805228701</v>
      </c>
      <c r="AN62" t="s">
        <v>334</v>
      </c>
      <c r="AP62">
        <v>9</v>
      </c>
      <c r="AQ62" t="s">
        <v>227</v>
      </c>
      <c r="AR62">
        <v>1</v>
      </c>
      <c r="AS62">
        <v>2265252358.6599998</v>
      </c>
      <c r="AT62">
        <v>1433630369</v>
      </c>
      <c r="AU62">
        <v>135887500</v>
      </c>
      <c r="AV62">
        <v>20074690</v>
      </c>
      <c r="AW62">
        <v>0.632878877057237</v>
      </c>
      <c r="AX62">
        <v>5.9987797598137597E-2</v>
      </c>
      <c r="AY62">
        <v>112.84121242519799</v>
      </c>
      <c r="AZ62">
        <v>3.4465187973731601E-3</v>
      </c>
      <c r="BA62">
        <v>-17.033726676064902</v>
      </c>
      <c r="BC62">
        <v>166</v>
      </c>
      <c r="BD62" t="s">
        <v>52</v>
      </c>
      <c r="BE62">
        <v>2</v>
      </c>
      <c r="BF62">
        <v>212227123.30000001</v>
      </c>
      <c r="BG62">
        <v>806943259</v>
      </c>
      <c r="BH62">
        <v>32633333.329999998</v>
      </c>
      <c r="BI62">
        <v>4721378</v>
      </c>
      <c r="BJ62">
        <v>3.80226262530695</v>
      </c>
      <c r="BK62">
        <v>0.153766082405358</v>
      </c>
      <c r="BL62">
        <v>44.9502503929996</v>
      </c>
      <c r="BM62">
        <v>3.12560397572882E-3</v>
      </c>
      <c r="BN62">
        <v>17.8868153911306</v>
      </c>
    </row>
    <row r="63" spans="1:66" x14ac:dyDescent="0.4">
      <c r="A63">
        <v>936</v>
      </c>
      <c r="B63" t="s">
        <v>191</v>
      </c>
      <c r="C63">
        <v>3</v>
      </c>
      <c r="D63">
        <v>253072500000</v>
      </c>
      <c r="E63">
        <v>167972183</v>
      </c>
      <c r="F63">
        <v>22208783.25</v>
      </c>
      <c r="G63">
        <v>2057500</v>
      </c>
      <c r="H63">
        <v>6.63731472206581E-4</v>
      </c>
      <c r="I63" s="1">
        <v>8.77566043327505E-5</v>
      </c>
      <c r="J63">
        <v>123000</v>
      </c>
      <c r="K63">
        <v>2.2011951421827499E-4</v>
      </c>
      <c r="L63">
        <v>67.401680870251795</v>
      </c>
      <c r="N63">
        <v>951</v>
      </c>
      <c r="O63" t="s">
        <v>214</v>
      </c>
      <c r="P63">
        <v>2</v>
      </c>
      <c r="Q63">
        <v>870232462000</v>
      </c>
      <c r="R63">
        <v>540947414</v>
      </c>
      <c r="S63">
        <v>68312500</v>
      </c>
      <c r="T63">
        <v>9647810</v>
      </c>
      <c r="U63">
        <v>6.2161254333902298E-4</v>
      </c>
      <c r="V63" s="1">
        <v>7.8499140152737704E-5</v>
      </c>
      <c r="W63">
        <v>90200</v>
      </c>
      <c r="X63">
        <v>7.6429036879026898E-4</v>
      </c>
      <c r="Y63">
        <v>36.171857109771103</v>
      </c>
      <c r="AA63">
        <v>910</v>
      </c>
      <c r="AB63" s="2" t="s">
        <v>265</v>
      </c>
      <c r="AC63">
        <v>1</v>
      </c>
      <c r="AD63">
        <v>17161562125000</v>
      </c>
      <c r="AE63">
        <v>6370617458</v>
      </c>
      <c r="AF63">
        <v>1134447406.77</v>
      </c>
      <c r="AG63">
        <v>428284033</v>
      </c>
      <c r="AH63">
        <v>3.7121431088838001E-4</v>
      </c>
      <c r="AI63" s="1">
        <v>6.6103971101640006E-5</v>
      </c>
      <c r="AJ63">
        <v>40070.515832188401</v>
      </c>
      <c r="AK63">
        <v>1.67818765800921E-2</v>
      </c>
      <c r="AL63">
        <v>-23.1579969989556</v>
      </c>
      <c r="AN63" t="s">
        <v>333</v>
      </c>
      <c r="AP63">
        <v>507</v>
      </c>
      <c r="AQ63" t="s">
        <v>229</v>
      </c>
      <c r="AR63">
        <v>1</v>
      </c>
      <c r="AS63">
        <v>1876504602.5</v>
      </c>
      <c r="AT63">
        <v>648134480</v>
      </c>
      <c r="AU63">
        <v>109135979.41</v>
      </c>
      <c r="AV63">
        <v>13514592</v>
      </c>
      <c r="AW63">
        <v>0.34539455919080198</v>
      </c>
      <c r="AX63">
        <v>5.8159185575458697E-2</v>
      </c>
      <c r="AY63">
        <v>138.85025922351099</v>
      </c>
      <c r="AZ63">
        <v>2.8550498407600199E-3</v>
      </c>
      <c r="BA63">
        <v>-18.7151431324436</v>
      </c>
      <c r="BC63">
        <v>708</v>
      </c>
      <c r="BD63" t="s">
        <v>77</v>
      </c>
      <c r="BE63">
        <v>2</v>
      </c>
      <c r="BF63">
        <v>212356301.09999999</v>
      </c>
      <c r="BG63">
        <v>599634935</v>
      </c>
      <c r="BH63">
        <v>63750000</v>
      </c>
      <c r="BI63">
        <v>9778827</v>
      </c>
      <c r="BJ63">
        <v>2.8237209439696702</v>
      </c>
      <c r="BK63">
        <v>0.30020300631427699</v>
      </c>
      <c r="BL63">
        <v>21.7159277999293</v>
      </c>
      <c r="BM63">
        <v>3.1275064594404999E-3</v>
      </c>
      <c r="BN63">
        <v>17.881374227055101</v>
      </c>
    </row>
    <row r="64" spans="1:66" x14ac:dyDescent="0.4">
      <c r="A64">
        <v>603</v>
      </c>
      <c r="B64" t="s">
        <v>75</v>
      </c>
      <c r="C64">
        <v>1</v>
      </c>
      <c r="D64">
        <v>2355094187800</v>
      </c>
      <c r="E64">
        <v>3229719440</v>
      </c>
      <c r="F64">
        <v>351829593.38</v>
      </c>
      <c r="G64">
        <v>29217968</v>
      </c>
      <c r="H64">
        <v>1.3713759121528001E-3</v>
      </c>
      <c r="I64">
        <v>1.4939088007713999E-4</v>
      </c>
      <c r="J64">
        <v>80604.311285439093</v>
      </c>
      <c r="K64">
        <v>2.0484335064332101E-3</v>
      </c>
      <c r="L64">
        <v>66.2842458127637</v>
      </c>
      <c r="N64">
        <v>977</v>
      </c>
      <c r="O64" t="s">
        <v>73</v>
      </c>
      <c r="P64">
        <v>1</v>
      </c>
      <c r="Q64">
        <v>8265802191800</v>
      </c>
      <c r="R64">
        <v>11809888000</v>
      </c>
      <c r="S64">
        <v>999463860.75</v>
      </c>
      <c r="T64">
        <v>65153857</v>
      </c>
      <c r="U64">
        <v>1.4287648949204001E-3</v>
      </c>
      <c r="V64">
        <v>1.209155309501E-4</v>
      </c>
      <c r="W64">
        <v>126865.89209599599</v>
      </c>
      <c r="X64">
        <v>7.2595234967438296E-3</v>
      </c>
      <c r="Y64">
        <v>35.210095020634398</v>
      </c>
      <c r="AA64">
        <v>1011</v>
      </c>
      <c r="AB64" t="s">
        <v>254</v>
      </c>
      <c r="AC64">
        <v>1</v>
      </c>
      <c r="AD64">
        <v>1823800000000</v>
      </c>
      <c r="AE64">
        <v>593494933</v>
      </c>
      <c r="AF64">
        <v>116031652.09</v>
      </c>
      <c r="AG64">
        <v>20680000</v>
      </c>
      <c r="AH64">
        <v>3.2541667562232699E-4</v>
      </c>
      <c r="AI64" s="1">
        <v>6.3620820314727499E-5</v>
      </c>
      <c r="AJ64">
        <v>88191.489361702101</v>
      </c>
      <c r="AK64">
        <v>1.7834499146313599E-3</v>
      </c>
      <c r="AL64">
        <v>-23.679337160575201</v>
      </c>
      <c r="AP64">
        <v>527</v>
      </c>
      <c r="AQ64" t="s">
        <v>226</v>
      </c>
      <c r="AR64">
        <v>1</v>
      </c>
      <c r="AS64">
        <v>1818848064</v>
      </c>
      <c r="AT64">
        <v>465702648</v>
      </c>
      <c r="AU64">
        <v>140965625</v>
      </c>
      <c r="AV64">
        <v>18079563</v>
      </c>
      <c r="AW64">
        <v>0.25604263336643301</v>
      </c>
      <c r="AX64">
        <v>7.7502694034810804E-2</v>
      </c>
      <c r="AY64">
        <v>100.60243513629101</v>
      </c>
      <c r="AZ64">
        <v>2.7673270124526001E-3</v>
      </c>
      <c r="BA64">
        <v>-19.009459069844802</v>
      </c>
      <c r="BC64">
        <v>385</v>
      </c>
      <c r="BD64" t="s">
        <v>70</v>
      </c>
      <c r="BE64">
        <v>2</v>
      </c>
      <c r="BF64">
        <v>221179149.44999999</v>
      </c>
      <c r="BG64">
        <v>825558854</v>
      </c>
      <c r="BH64">
        <v>88935853.670000002</v>
      </c>
      <c r="BI64">
        <v>8804923</v>
      </c>
      <c r="BJ64">
        <v>3.7325347170060699</v>
      </c>
      <c r="BK64">
        <v>0.40209872355126702</v>
      </c>
      <c r="BL64">
        <v>25.119941361213399</v>
      </c>
      <c r="BM64">
        <v>3.2574461648429598E-3</v>
      </c>
      <c r="BN64">
        <v>17.5211003309429</v>
      </c>
    </row>
    <row r="65" spans="1:66" x14ac:dyDescent="0.4">
      <c r="A65">
        <v>753</v>
      </c>
      <c r="B65" t="s">
        <v>215</v>
      </c>
      <c r="C65">
        <v>2</v>
      </c>
      <c r="D65">
        <v>288301085000</v>
      </c>
      <c r="E65">
        <v>214552666</v>
      </c>
      <c r="F65">
        <v>21500000</v>
      </c>
      <c r="G65">
        <v>3816768</v>
      </c>
      <c r="H65">
        <v>7.4419652635022103E-4</v>
      </c>
      <c r="I65" s="1">
        <v>7.4574814728844998E-5</v>
      </c>
      <c r="J65">
        <v>75535.396702131198</v>
      </c>
      <c r="K65">
        <v>2.50760927318463E-4</v>
      </c>
      <c r="L65">
        <v>63.149521828131903</v>
      </c>
      <c r="N65">
        <v>791</v>
      </c>
      <c r="O65" t="s">
        <v>85</v>
      </c>
      <c r="P65">
        <v>2</v>
      </c>
      <c r="Q65">
        <v>919232248500</v>
      </c>
      <c r="R65">
        <v>1292505280</v>
      </c>
      <c r="S65">
        <v>138750000</v>
      </c>
      <c r="T65">
        <v>17018902</v>
      </c>
      <c r="U65">
        <v>1.40607042682532E-3</v>
      </c>
      <c r="V65" s="1">
        <v>1.5094117969252199E-4</v>
      </c>
      <c r="W65">
        <v>54012.4297384167</v>
      </c>
      <c r="X65">
        <v>8.0732492165980902E-4</v>
      </c>
      <c r="Y65">
        <v>35.194582722407297</v>
      </c>
      <c r="AA65">
        <v>1009</v>
      </c>
      <c r="AB65" t="s">
        <v>197</v>
      </c>
      <c r="AC65">
        <v>1</v>
      </c>
      <c r="AD65">
        <v>1771201898100</v>
      </c>
      <c r="AE65">
        <v>426406201</v>
      </c>
      <c r="AF65">
        <v>81062389.340000004</v>
      </c>
      <c r="AG65">
        <v>7406460</v>
      </c>
      <c r="AH65">
        <v>2.40743983764591E-4</v>
      </c>
      <c r="AI65" s="1">
        <v>4.5766882604945803E-5</v>
      </c>
      <c r="AJ65">
        <v>239142.84261307001</v>
      </c>
      <c r="AK65">
        <v>1.73201550277516E-3</v>
      </c>
      <c r="AL65">
        <v>-24.0283590304056</v>
      </c>
      <c r="AP65">
        <v>910</v>
      </c>
      <c r="AQ65" t="s">
        <v>265</v>
      </c>
      <c r="AR65">
        <v>1</v>
      </c>
      <c r="AS65">
        <v>14293817000</v>
      </c>
      <c r="AT65">
        <v>6370617458</v>
      </c>
      <c r="AU65">
        <v>1134447406.77</v>
      </c>
      <c r="AV65">
        <v>428284033</v>
      </c>
      <c r="AW65">
        <v>0.44569043090449501</v>
      </c>
      <c r="AX65">
        <v>7.9366302700671201E-2</v>
      </c>
      <c r="AY65">
        <v>33.374620342196998</v>
      </c>
      <c r="AZ65">
        <v>2.1747647138905899E-2</v>
      </c>
      <c r="BA65">
        <v>-20.3430054663398</v>
      </c>
      <c r="BC65">
        <v>1135</v>
      </c>
      <c r="BD65" t="s">
        <v>204</v>
      </c>
      <c r="BE65">
        <v>2</v>
      </c>
      <c r="BF65">
        <v>229405000</v>
      </c>
      <c r="BG65">
        <v>181483615</v>
      </c>
      <c r="BH65">
        <v>49482700.549999997</v>
      </c>
      <c r="BI65">
        <v>4308000</v>
      </c>
      <c r="BJ65">
        <v>0.79110575183627196</v>
      </c>
      <c r="BK65">
        <v>0.21570018330027599</v>
      </c>
      <c r="BL65">
        <v>53.2509285051067</v>
      </c>
      <c r="BM65">
        <v>3.3785935035197702E-3</v>
      </c>
      <c r="BN65">
        <v>17.204102789618101</v>
      </c>
    </row>
    <row r="66" spans="1:66" x14ac:dyDescent="0.4">
      <c r="A66">
        <v>622</v>
      </c>
      <c r="B66" t="s">
        <v>60</v>
      </c>
      <c r="C66">
        <v>3</v>
      </c>
      <c r="D66">
        <v>288391458800</v>
      </c>
      <c r="E66">
        <v>491915642</v>
      </c>
      <c r="F66">
        <v>49250000</v>
      </c>
      <c r="G66">
        <v>9918250</v>
      </c>
      <c r="H66">
        <v>1.7057219518458199E-3</v>
      </c>
      <c r="I66">
        <v>1.70774821851277E-4</v>
      </c>
      <c r="J66">
        <v>29076.849121568801</v>
      </c>
      <c r="K66">
        <v>2.5083953339756699E-4</v>
      </c>
      <c r="L66">
        <v>63.139626407757802</v>
      </c>
      <c r="N66">
        <v>889</v>
      </c>
      <c r="O66" s="2" t="s">
        <v>141</v>
      </c>
      <c r="P66">
        <v>1</v>
      </c>
      <c r="Q66">
        <v>8329466675200</v>
      </c>
      <c r="R66">
        <v>11122258000</v>
      </c>
      <c r="S66">
        <v>850828869.42999995</v>
      </c>
      <c r="T66">
        <v>122424900</v>
      </c>
      <c r="U66">
        <v>1.3352905334401699E-3</v>
      </c>
      <c r="V66" s="1">
        <v>1.02146860370213E-4</v>
      </c>
      <c r="W66">
        <v>68037.357393798098</v>
      </c>
      <c r="X66">
        <v>7.3154374664259102E-3</v>
      </c>
      <c r="Y66">
        <v>35.075276525984002</v>
      </c>
      <c r="AA66">
        <v>1125</v>
      </c>
      <c r="AB66" t="s">
        <v>253</v>
      </c>
      <c r="AC66">
        <v>1</v>
      </c>
      <c r="AD66">
        <v>1396978800000</v>
      </c>
      <c r="AE66">
        <v>530958477</v>
      </c>
      <c r="AF66">
        <v>90756250</v>
      </c>
      <c r="AG66">
        <v>17215498</v>
      </c>
      <c r="AH66">
        <v>3.8007625956814798E-4</v>
      </c>
      <c r="AI66" s="1">
        <v>6.4966089678669399E-5</v>
      </c>
      <c r="AJ66">
        <v>81146.580830830397</v>
      </c>
      <c r="AK66">
        <v>1.36607178506515E-3</v>
      </c>
      <c r="AL66">
        <v>-27.055978133480199</v>
      </c>
      <c r="AP66">
        <v>957</v>
      </c>
      <c r="AQ66" t="s">
        <v>208</v>
      </c>
      <c r="AR66">
        <v>1</v>
      </c>
      <c r="AS66">
        <v>12391209715.5</v>
      </c>
      <c r="AT66">
        <v>13382959000</v>
      </c>
      <c r="AU66">
        <v>1541620454.2</v>
      </c>
      <c r="AV66">
        <v>296600873</v>
      </c>
      <c r="AW66">
        <v>1.08003651840864</v>
      </c>
      <c r="AX66">
        <v>0.124412425388265</v>
      </c>
      <c r="AY66">
        <v>41.777387875389003</v>
      </c>
      <c r="AZ66">
        <v>1.88528827895919E-2</v>
      </c>
      <c r="BA66">
        <v>-21.849040564615599</v>
      </c>
      <c r="BC66">
        <v>376</v>
      </c>
      <c r="BD66" t="s">
        <v>167</v>
      </c>
      <c r="BE66">
        <v>2</v>
      </c>
      <c r="BF66">
        <v>233808057</v>
      </c>
      <c r="BG66">
        <v>293692167</v>
      </c>
      <c r="BH66">
        <v>40637500</v>
      </c>
      <c r="BI66">
        <v>2855404</v>
      </c>
      <c r="BJ66">
        <v>1.2561250915318101</v>
      </c>
      <c r="BK66">
        <v>0.17380709852954199</v>
      </c>
      <c r="BL66">
        <v>81.8826537330619</v>
      </c>
      <c r="BM66">
        <v>3.4434401275071601E-3</v>
      </c>
      <c r="BN66">
        <v>17.041339630380001</v>
      </c>
    </row>
    <row r="67" spans="1:66" x14ac:dyDescent="0.4">
      <c r="A67">
        <v>931</v>
      </c>
      <c r="B67" t="s">
        <v>142</v>
      </c>
      <c r="C67">
        <v>1</v>
      </c>
      <c r="D67">
        <v>2600003565250</v>
      </c>
      <c r="E67">
        <v>3556593738</v>
      </c>
      <c r="F67">
        <v>260692186.66999999</v>
      </c>
      <c r="G67">
        <v>39802356</v>
      </c>
      <c r="H67">
        <v>1.36791879270289E-3</v>
      </c>
      <c r="I67">
        <v>1.0026608815243399E-4</v>
      </c>
      <c r="J67">
        <v>65322.8558945103</v>
      </c>
      <c r="K67">
        <v>2.2614528316929499E-3</v>
      </c>
      <c r="L67">
        <v>63.085200513777501</v>
      </c>
      <c r="N67">
        <v>163</v>
      </c>
      <c r="O67" t="s">
        <v>164</v>
      </c>
      <c r="P67">
        <v>2</v>
      </c>
      <c r="Q67">
        <v>940802532000</v>
      </c>
      <c r="R67">
        <v>915889246</v>
      </c>
      <c r="S67">
        <v>68080000</v>
      </c>
      <c r="T67">
        <v>6545660</v>
      </c>
      <c r="U67">
        <v>9.7351911251021095E-4</v>
      </c>
      <c r="V67" s="1">
        <v>7.2363750823748794E-5</v>
      </c>
      <c r="W67">
        <v>143729.208666505</v>
      </c>
      <c r="X67">
        <v>8.2626923901294195E-4</v>
      </c>
      <c r="Y67">
        <v>34.788780701550998</v>
      </c>
      <c r="AA67">
        <v>568</v>
      </c>
      <c r="AB67" s="2" t="s">
        <v>241</v>
      </c>
      <c r="AC67">
        <v>1</v>
      </c>
      <c r="AD67">
        <v>9076470000000</v>
      </c>
      <c r="AE67">
        <v>5192604414</v>
      </c>
      <c r="AF67">
        <v>708100907.44000006</v>
      </c>
      <c r="AG67">
        <v>150231040</v>
      </c>
      <c r="AH67">
        <v>5.7209514425762397E-4</v>
      </c>
      <c r="AI67" s="1">
        <v>7.8015011060467298E-5</v>
      </c>
      <c r="AJ67">
        <v>60416.742106025398</v>
      </c>
      <c r="AK67">
        <v>8.8756605146694395E-3</v>
      </c>
      <c r="AL67">
        <v>-31.843508604465999</v>
      </c>
      <c r="AP67">
        <v>954</v>
      </c>
      <c r="AQ67" t="s">
        <v>269</v>
      </c>
      <c r="AR67">
        <v>1</v>
      </c>
      <c r="AS67">
        <v>1235995200</v>
      </c>
      <c r="AT67">
        <v>748899609</v>
      </c>
      <c r="AU67">
        <v>155897377.16</v>
      </c>
      <c r="AV67">
        <v>76050000</v>
      </c>
      <c r="AW67">
        <v>0.60590818556576898</v>
      </c>
      <c r="AX67">
        <v>0.12613105387464199</v>
      </c>
      <c r="AY67">
        <v>16.252402366863901</v>
      </c>
      <c r="AZ67">
        <v>1.8805325040177499E-3</v>
      </c>
      <c r="BA67">
        <v>-23.060014594070999</v>
      </c>
      <c r="BC67">
        <v>1083</v>
      </c>
      <c r="BD67" t="s">
        <v>222</v>
      </c>
      <c r="BE67">
        <v>2</v>
      </c>
      <c r="BF67">
        <v>237461512.80000001</v>
      </c>
      <c r="BG67">
        <v>641181248</v>
      </c>
      <c r="BH67">
        <v>41057000</v>
      </c>
      <c r="BI67">
        <v>10837320</v>
      </c>
      <c r="BJ67">
        <v>2.7001480805861302</v>
      </c>
      <c r="BK67">
        <v>0.172899597563753</v>
      </c>
      <c r="BL67">
        <v>21.911460840872099</v>
      </c>
      <c r="BM67">
        <v>3.4972468973303002E-3</v>
      </c>
      <c r="BN67">
        <v>16.909737008942599</v>
      </c>
    </row>
    <row r="68" spans="1:66" x14ac:dyDescent="0.4">
      <c r="A68">
        <v>833</v>
      </c>
      <c r="B68" t="s">
        <v>93</v>
      </c>
      <c r="C68">
        <v>3</v>
      </c>
      <c r="D68">
        <v>291852000000</v>
      </c>
      <c r="E68">
        <v>409916392</v>
      </c>
      <c r="F68">
        <v>46170967.5</v>
      </c>
      <c r="G68">
        <v>8470000</v>
      </c>
      <c r="H68">
        <v>1.4045351479517001E-3</v>
      </c>
      <c r="I68">
        <v>1.5819993524114899E-4</v>
      </c>
      <c r="J68">
        <v>34457.142857142797</v>
      </c>
      <c r="K68">
        <v>2.5384947184554598E-4</v>
      </c>
      <c r="L68">
        <v>62.764181255046502</v>
      </c>
      <c r="N68">
        <v>703</v>
      </c>
      <c r="O68" t="s">
        <v>238</v>
      </c>
      <c r="P68">
        <v>2</v>
      </c>
      <c r="Q68">
        <v>986070523500</v>
      </c>
      <c r="R68">
        <v>259007915</v>
      </c>
      <c r="S68">
        <v>78837500</v>
      </c>
      <c r="T68">
        <v>8870652</v>
      </c>
      <c r="U68">
        <v>2.6266672497284098E-4</v>
      </c>
      <c r="V68" s="1">
        <v>7.9951178055876596E-5</v>
      </c>
      <c r="W68">
        <v>111160.997353971</v>
      </c>
      <c r="X68">
        <v>8.6602630557699003E-4</v>
      </c>
      <c r="Y68">
        <v>33.9808672048026</v>
      </c>
      <c r="AA68">
        <v>922</v>
      </c>
      <c r="AB68" t="s">
        <v>266</v>
      </c>
      <c r="AC68">
        <v>1</v>
      </c>
      <c r="AD68">
        <v>8407861650000</v>
      </c>
      <c r="AE68">
        <v>3071861977</v>
      </c>
      <c r="AF68">
        <v>541725813.75</v>
      </c>
      <c r="AG68">
        <v>198684218</v>
      </c>
      <c r="AH68">
        <v>3.6535591389042399E-4</v>
      </c>
      <c r="AI68" s="1">
        <v>6.4430866765035307E-5</v>
      </c>
      <c r="AJ68">
        <v>42317.712673082002</v>
      </c>
      <c r="AK68">
        <v>8.2218445783116597E-3</v>
      </c>
      <c r="AL68">
        <v>-33.085417804020601</v>
      </c>
      <c r="AP68">
        <v>1009</v>
      </c>
      <c r="AQ68" t="s">
        <v>197</v>
      </c>
      <c r="AR68">
        <v>1</v>
      </c>
      <c r="AS68">
        <v>1079618093.0999999</v>
      </c>
      <c r="AT68">
        <v>426406201</v>
      </c>
      <c r="AU68">
        <v>81062389.340000004</v>
      </c>
      <c r="AV68">
        <v>7406460</v>
      </c>
      <c r="AW68">
        <v>0.39496022132754599</v>
      </c>
      <c r="AX68">
        <v>7.5084319036594294E-2</v>
      </c>
      <c r="AY68">
        <v>145.76708617882201</v>
      </c>
      <c r="AZ68">
        <v>1.6426090619123799E-3</v>
      </c>
      <c r="BA68">
        <v>-24.6736211899523</v>
      </c>
      <c r="BC68">
        <v>467</v>
      </c>
      <c r="BD68" t="s">
        <v>128</v>
      </c>
      <c r="BE68">
        <v>2</v>
      </c>
      <c r="BF68">
        <v>246097663.19999999</v>
      </c>
      <c r="BG68">
        <v>430273063</v>
      </c>
      <c r="BH68">
        <v>41851699.829999998</v>
      </c>
      <c r="BI68">
        <v>8715924</v>
      </c>
      <c r="BJ68">
        <v>1.7483833751412801</v>
      </c>
      <c r="BK68">
        <v>0.17006134591366501</v>
      </c>
      <c r="BL68">
        <v>28.235407192628099</v>
      </c>
      <c r="BM68">
        <v>3.62443698314734E-3</v>
      </c>
      <c r="BN68">
        <v>16.610385941832899</v>
      </c>
    </row>
    <row r="69" spans="1:66" x14ac:dyDescent="0.4">
      <c r="A69">
        <v>224</v>
      </c>
      <c r="B69" t="s">
        <v>83</v>
      </c>
      <c r="C69">
        <v>2</v>
      </c>
      <c r="D69">
        <v>300000000000</v>
      </c>
      <c r="E69">
        <v>667132978</v>
      </c>
      <c r="F69">
        <v>24000000</v>
      </c>
      <c r="G69">
        <v>5847970</v>
      </c>
      <c r="H69">
        <v>2.2237765933333302E-3</v>
      </c>
      <c r="I69" s="1">
        <v>8.0000000000000007E-5</v>
      </c>
      <c r="J69">
        <v>51299.852769422498</v>
      </c>
      <c r="K69">
        <v>2.60936507386154E-4</v>
      </c>
      <c r="L69">
        <v>61.905976348910897</v>
      </c>
      <c r="N69">
        <v>802</v>
      </c>
      <c r="O69" t="s">
        <v>165</v>
      </c>
      <c r="P69">
        <v>2</v>
      </c>
      <c r="Q69">
        <v>999978000000</v>
      </c>
      <c r="R69">
        <v>852690951</v>
      </c>
      <c r="S69">
        <v>78260707.75</v>
      </c>
      <c r="T69">
        <v>6590878</v>
      </c>
      <c r="U69">
        <v>8.5270971061363304E-4</v>
      </c>
      <c r="V69" s="1">
        <v>7.8262429523449499E-5</v>
      </c>
      <c r="W69">
        <v>151721.515707012</v>
      </c>
      <c r="X69">
        <v>8.7824068599518098E-4</v>
      </c>
      <c r="Y69">
        <v>33.743740587045501</v>
      </c>
      <c r="AA69">
        <v>809</v>
      </c>
      <c r="AB69" t="s">
        <v>272</v>
      </c>
      <c r="AC69">
        <v>1</v>
      </c>
      <c r="AD69">
        <v>7357705538400</v>
      </c>
      <c r="AE69">
        <v>1128646599</v>
      </c>
      <c r="AF69">
        <v>349550836.91000003</v>
      </c>
      <c r="AG69">
        <v>208032045</v>
      </c>
      <c r="AH69">
        <v>1.53396543679218E-4</v>
      </c>
      <c r="AI69" s="1">
        <v>4.7508130773335201E-5</v>
      </c>
      <c r="AJ69">
        <v>35368.135415868201</v>
      </c>
      <c r="AK69">
        <v>7.1949223129412097E-3</v>
      </c>
      <c r="AL69">
        <v>-35.367812556407699</v>
      </c>
      <c r="AP69">
        <v>852</v>
      </c>
      <c r="AQ69" t="s">
        <v>251</v>
      </c>
      <c r="AR69">
        <v>1</v>
      </c>
      <c r="AS69">
        <v>1057741960.402</v>
      </c>
      <c r="AT69">
        <v>823749217</v>
      </c>
      <c r="AU69">
        <v>198656573.28999999</v>
      </c>
      <c r="AV69">
        <v>29728393</v>
      </c>
      <c r="AW69">
        <v>0.77878088214154795</v>
      </c>
      <c r="AX69">
        <v>0.18781194348619701</v>
      </c>
      <c r="AY69">
        <v>35.580192996035798</v>
      </c>
      <c r="AZ69">
        <v>1.60932513119745E-3</v>
      </c>
      <c r="BA69">
        <v>-24.927464323676102</v>
      </c>
      <c r="BC69">
        <v>951</v>
      </c>
      <c r="BD69" t="s">
        <v>214</v>
      </c>
      <c r="BE69">
        <v>2</v>
      </c>
      <c r="BF69">
        <v>250008467.5</v>
      </c>
      <c r="BG69">
        <v>540947414</v>
      </c>
      <c r="BH69">
        <v>68312500</v>
      </c>
      <c r="BI69">
        <v>9647810</v>
      </c>
      <c r="BJ69">
        <v>2.1637163709265099</v>
      </c>
      <c r="BK69">
        <v>0.27324074533595499</v>
      </c>
      <c r="BL69">
        <v>25.913494098660699</v>
      </c>
      <c r="BM69">
        <v>3.6820338881909001E-3</v>
      </c>
      <c r="BN69">
        <v>16.479958334537599</v>
      </c>
    </row>
    <row r="70" spans="1:66" x14ac:dyDescent="0.4">
      <c r="A70">
        <v>989</v>
      </c>
      <c r="B70" t="s">
        <v>62</v>
      </c>
      <c r="C70">
        <v>1</v>
      </c>
      <c r="D70">
        <v>2773189258500</v>
      </c>
      <c r="E70">
        <v>3557258380</v>
      </c>
      <c r="F70">
        <v>346670002.82999998</v>
      </c>
      <c r="G70">
        <v>15953830</v>
      </c>
      <c r="H70">
        <v>1.2827319192502901E-3</v>
      </c>
      <c r="I70">
        <v>1.25007697100886E-4</v>
      </c>
      <c r="J70">
        <v>173825.92509134099</v>
      </c>
      <c r="K70">
        <v>2.41208773144596E-3</v>
      </c>
      <c r="L70">
        <v>61.083611294070003</v>
      </c>
      <c r="N70">
        <v>1075</v>
      </c>
      <c r="O70" t="s">
        <v>182</v>
      </c>
      <c r="P70">
        <v>2</v>
      </c>
      <c r="Q70">
        <v>1007364771000</v>
      </c>
      <c r="R70">
        <v>907331000</v>
      </c>
      <c r="S70">
        <v>108891209.44</v>
      </c>
      <c r="T70">
        <v>16109633</v>
      </c>
      <c r="U70">
        <v>9.0069756866651405E-4</v>
      </c>
      <c r="V70">
        <v>1.08095113681516E-4</v>
      </c>
      <c r="W70">
        <v>62531.826206096601</v>
      </c>
      <c r="X70">
        <v>8.8472819155063298E-4</v>
      </c>
      <c r="Y70">
        <v>33.619795462598802</v>
      </c>
      <c r="AA70">
        <v>793</v>
      </c>
      <c r="AB70" t="s">
        <v>270</v>
      </c>
      <c r="AC70">
        <v>1</v>
      </c>
      <c r="AD70">
        <v>6619120000000</v>
      </c>
      <c r="AE70">
        <v>1750448143</v>
      </c>
      <c r="AF70">
        <v>358866673.66000003</v>
      </c>
      <c r="AG70">
        <v>156937200</v>
      </c>
      <c r="AH70">
        <v>2.6445330240273599E-4</v>
      </c>
      <c r="AI70" s="1">
        <v>5.4216674370611203E-5</v>
      </c>
      <c r="AJ70">
        <v>42176.870748299298</v>
      </c>
      <c r="AK70">
        <v>6.4726773763212698E-3</v>
      </c>
      <c r="AL70">
        <v>-37.288874438128197</v>
      </c>
      <c r="AP70">
        <v>410</v>
      </c>
      <c r="AQ70" t="s">
        <v>258</v>
      </c>
      <c r="AR70">
        <v>1</v>
      </c>
      <c r="AS70">
        <v>987613737</v>
      </c>
      <c r="AT70">
        <v>982927563</v>
      </c>
      <c r="AU70">
        <v>75339474.540000007</v>
      </c>
      <c r="AV70">
        <v>20235562</v>
      </c>
      <c r="AW70">
        <v>0.995255053849053</v>
      </c>
      <c r="AX70">
        <v>7.6284352594014199E-2</v>
      </c>
      <c r="AY70">
        <v>48.805846706901399</v>
      </c>
      <c r="AZ70">
        <v>1.50262697933045E-3</v>
      </c>
      <c r="BA70">
        <v>-25.797309190487599</v>
      </c>
      <c r="BC70">
        <v>812</v>
      </c>
      <c r="BD70" t="s">
        <v>89</v>
      </c>
      <c r="BE70">
        <v>2</v>
      </c>
      <c r="BF70">
        <v>269852149.39999998</v>
      </c>
      <c r="BG70">
        <v>715512928.15999997</v>
      </c>
      <c r="BH70">
        <v>91500168.629999995</v>
      </c>
      <c r="BI70">
        <v>10746064</v>
      </c>
      <c r="BJ70">
        <v>2.6514998296322601</v>
      </c>
      <c r="BK70">
        <v>0.33907518925991498</v>
      </c>
      <c r="BL70">
        <v>25.111719919032598</v>
      </c>
      <c r="BM70">
        <v>3.97428442655429E-3</v>
      </c>
      <c r="BN70">
        <v>15.8624595465286</v>
      </c>
    </row>
    <row r="71" spans="1:66" x14ac:dyDescent="0.4">
      <c r="A71">
        <v>1059</v>
      </c>
      <c r="B71" t="s">
        <v>95</v>
      </c>
      <c r="C71">
        <v>3</v>
      </c>
      <c r="D71">
        <v>309025796000</v>
      </c>
      <c r="E71">
        <v>278472574</v>
      </c>
      <c r="F71">
        <v>62755793.939999998</v>
      </c>
      <c r="G71">
        <v>8709100</v>
      </c>
      <c r="H71">
        <v>9.01130512742049E-4</v>
      </c>
      <c r="I71">
        <v>2.03076231021179E-4</v>
      </c>
      <c r="J71">
        <v>35483.091938317302</v>
      </c>
      <c r="K71">
        <v>2.6878703966822101E-4</v>
      </c>
      <c r="L71">
        <v>60.995225035254997</v>
      </c>
      <c r="N71">
        <v>624</v>
      </c>
      <c r="O71" t="s">
        <v>129</v>
      </c>
      <c r="P71">
        <v>2</v>
      </c>
      <c r="Q71">
        <v>1062227906500</v>
      </c>
      <c r="R71">
        <v>1520680176</v>
      </c>
      <c r="S71">
        <v>128160194.95999999</v>
      </c>
      <c r="T71">
        <v>27381206</v>
      </c>
      <c r="U71">
        <v>1.43159501524544E-3</v>
      </c>
      <c r="V71">
        <v>1.20652257557686E-4</v>
      </c>
      <c r="W71">
        <v>38794.051164145203</v>
      </c>
      <c r="X71">
        <v>9.3291228935815098E-4</v>
      </c>
      <c r="Y71">
        <v>32.740069194631197</v>
      </c>
      <c r="AA71">
        <v>440</v>
      </c>
      <c r="AB71" t="s">
        <v>262</v>
      </c>
      <c r="AC71">
        <v>1</v>
      </c>
      <c r="AD71">
        <v>3788400000000</v>
      </c>
      <c r="AE71">
        <v>1795385648</v>
      </c>
      <c r="AF71">
        <v>201097540.19</v>
      </c>
      <c r="AG71">
        <v>65450000</v>
      </c>
      <c r="AH71">
        <v>4.7391660014781898E-4</v>
      </c>
      <c r="AI71" s="1">
        <v>5.3082446465526297E-5</v>
      </c>
      <c r="AJ71">
        <v>57882.352941176403</v>
      </c>
      <c r="AK71">
        <v>3.70458474426442E-3</v>
      </c>
      <c r="AL71">
        <v>-49.289168046972101</v>
      </c>
      <c r="AP71">
        <v>1011</v>
      </c>
      <c r="AQ71" t="s">
        <v>254</v>
      </c>
      <c r="AR71">
        <v>1</v>
      </c>
      <c r="AS71">
        <v>976848005</v>
      </c>
      <c r="AT71">
        <v>593494933</v>
      </c>
      <c r="AU71">
        <v>116031652.09</v>
      </c>
      <c r="AV71">
        <v>20680000</v>
      </c>
      <c r="AW71">
        <v>0.60756118655327496</v>
      </c>
      <c r="AX71">
        <v>0.118781685068804</v>
      </c>
      <c r="AY71">
        <v>47.236363878143102</v>
      </c>
      <c r="AZ71">
        <v>1.4862472159175E-3</v>
      </c>
      <c r="BA71">
        <v>-25.939074288094702</v>
      </c>
      <c r="BC71">
        <v>231</v>
      </c>
      <c r="BD71" t="s">
        <v>32</v>
      </c>
      <c r="BE71">
        <v>2</v>
      </c>
      <c r="BF71">
        <v>277315443.60000002</v>
      </c>
      <c r="BG71">
        <v>1450510485</v>
      </c>
      <c r="BH71">
        <v>80800000</v>
      </c>
      <c r="BI71">
        <v>10405520</v>
      </c>
      <c r="BJ71">
        <v>5.2305434784664104</v>
      </c>
      <c r="BK71">
        <v>0.29136494870637603</v>
      </c>
      <c r="BL71">
        <v>26.650801074814101</v>
      </c>
      <c r="BM71">
        <v>4.0842011123239002E-3</v>
      </c>
      <c r="BN71">
        <v>15.647553329124699</v>
      </c>
    </row>
    <row r="72" spans="1:66" x14ac:dyDescent="0.4">
      <c r="A72">
        <v>1106</v>
      </c>
      <c r="B72" t="s">
        <v>21</v>
      </c>
      <c r="C72">
        <v>1</v>
      </c>
      <c r="D72">
        <v>2796524410680</v>
      </c>
      <c r="E72">
        <v>6640646622.46</v>
      </c>
      <c r="F72">
        <v>576589914.46000004</v>
      </c>
      <c r="G72">
        <v>38388059</v>
      </c>
      <c r="H72">
        <v>2.37460706479056E-3</v>
      </c>
      <c r="I72">
        <v>2.06180898066896E-4</v>
      </c>
      <c r="J72">
        <v>72848.809852042701</v>
      </c>
      <c r="K72">
        <v>2.43238437514321E-3</v>
      </c>
      <c r="L72">
        <v>60.8282261941022</v>
      </c>
      <c r="N72">
        <v>1071</v>
      </c>
      <c r="O72" t="s">
        <v>206</v>
      </c>
      <c r="P72">
        <v>1</v>
      </c>
      <c r="Q72">
        <v>1072000000000</v>
      </c>
      <c r="R72">
        <v>445224238</v>
      </c>
      <c r="S72">
        <v>102808156.59</v>
      </c>
      <c r="T72">
        <v>10000000</v>
      </c>
      <c r="U72">
        <v>4.1532111753731302E-4</v>
      </c>
      <c r="V72" s="1">
        <v>9.5903131147388E-5</v>
      </c>
      <c r="W72">
        <v>107200</v>
      </c>
      <c r="X72">
        <v>9.4149472827085602E-4</v>
      </c>
      <c r="Y72">
        <v>32.590502272334597</v>
      </c>
      <c r="AA72">
        <v>954</v>
      </c>
      <c r="AB72" t="s">
        <v>269</v>
      </c>
      <c r="AC72">
        <v>1</v>
      </c>
      <c r="AD72">
        <v>2601000000000</v>
      </c>
      <c r="AE72">
        <v>748899609</v>
      </c>
      <c r="AF72">
        <v>155897377.16</v>
      </c>
      <c r="AG72">
        <v>76050000</v>
      </c>
      <c r="AH72">
        <v>2.8792756978085298E-4</v>
      </c>
      <c r="AI72" s="1">
        <v>5.9937476801230197E-5</v>
      </c>
      <c r="AJ72">
        <v>34201.183431952602</v>
      </c>
      <c r="AK72">
        <v>2.5434549994276601E-3</v>
      </c>
      <c r="AL72">
        <v>-59.4852410253418</v>
      </c>
      <c r="AP72">
        <v>922</v>
      </c>
      <c r="AQ72" t="s">
        <v>266</v>
      </c>
      <c r="AR72">
        <v>1</v>
      </c>
      <c r="AS72">
        <v>4918442631.6000004</v>
      </c>
      <c r="AT72">
        <v>3071861977</v>
      </c>
      <c r="AU72">
        <v>541725813.75</v>
      </c>
      <c r="AV72">
        <v>198684218</v>
      </c>
      <c r="AW72">
        <v>0.62455988756764302</v>
      </c>
      <c r="AX72">
        <v>0.110141736790731</v>
      </c>
      <c r="AY72">
        <v>24.7550745656104</v>
      </c>
      <c r="AZ72">
        <v>7.4832743993426499E-3</v>
      </c>
      <c r="BA72">
        <v>-34.679706996346901</v>
      </c>
      <c r="BC72">
        <v>800</v>
      </c>
      <c r="BD72" t="s">
        <v>247</v>
      </c>
      <c r="BE72">
        <v>2</v>
      </c>
      <c r="BF72">
        <v>284894370.63</v>
      </c>
      <c r="BG72">
        <v>637284880</v>
      </c>
      <c r="BH72">
        <v>49793269.75</v>
      </c>
      <c r="BI72">
        <v>18047921</v>
      </c>
      <c r="BJ72">
        <v>2.23691636514523</v>
      </c>
      <c r="BK72">
        <v>0.174778005054609</v>
      </c>
      <c r="BL72">
        <v>15.785439809383</v>
      </c>
      <c r="BM72">
        <v>4.19582079640754E-3</v>
      </c>
      <c r="BN72">
        <v>15.4380176958274</v>
      </c>
    </row>
    <row r="73" spans="1:66" x14ac:dyDescent="0.4">
      <c r="A73">
        <v>1115</v>
      </c>
      <c r="B73" t="s">
        <v>124</v>
      </c>
      <c r="C73">
        <v>3</v>
      </c>
      <c r="D73">
        <v>311749200000</v>
      </c>
      <c r="E73">
        <v>230164387</v>
      </c>
      <c r="F73">
        <v>56475000</v>
      </c>
      <c r="G73">
        <v>6084589</v>
      </c>
      <c r="H73">
        <v>7.3829984808300995E-4</v>
      </c>
      <c r="I73">
        <v>1.8115523632458399E-4</v>
      </c>
      <c r="J73">
        <v>51235.868190932801</v>
      </c>
      <c r="K73">
        <v>2.7115582476142601E-4</v>
      </c>
      <c r="L73">
        <v>60.728217096448702</v>
      </c>
      <c r="N73">
        <v>600</v>
      </c>
      <c r="O73" s="2" t="s">
        <v>102</v>
      </c>
      <c r="P73">
        <v>1</v>
      </c>
      <c r="Q73">
        <v>10214074862000</v>
      </c>
      <c r="R73">
        <v>8207779513</v>
      </c>
      <c r="S73">
        <v>1601147239.73</v>
      </c>
      <c r="T73">
        <v>84230078</v>
      </c>
      <c r="U73">
        <v>8.0357542155245598E-4</v>
      </c>
      <c r="V73">
        <v>1.5675890977525901E-4</v>
      </c>
      <c r="W73">
        <v>121263.98436909899</v>
      </c>
      <c r="X73">
        <v>8.9706134671052908E-3</v>
      </c>
      <c r="Y73">
        <v>31.6745302504075</v>
      </c>
      <c r="AA73">
        <v>888</v>
      </c>
      <c r="AB73" t="s">
        <v>260</v>
      </c>
      <c r="AC73">
        <v>1</v>
      </c>
      <c r="AD73">
        <v>1840659600000</v>
      </c>
      <c r="AE73">
        <v>784557088</v>
      </c>
      <c r="AF73">
        <v>105821711.94</v>
      </c>
      <c r="AG73">
        <v>30383618</v>
      </c>
      <c r="AH73">
        <v>4.2623692506751302E-4</v>
      </c>
      <c r="AI73" s="1">
        <v>5.7491190625360598E-5</v>
      </c>
      <c r="AJ73">
        <v>60580.658959048204</v>
      </c>
      <c r="AK73">
        <v>1.79993650975183E-3</v>
      </c>
      <c r="AL73">
        <v>-70.711925217896393</v>
      </c>
      <c r="AP73">
        <v>793</v>
      </c>
      <c r="AQ73" t="s">
        <v>270</v>
      </c>
      <c r="AR73">
        <v>1</v>
      </c>
      <c r="AS73">
        <v>3276464400</v>
      </c>
      <c r="AT73">
        <v>1750448143</v>
      </c>
      <c r="AU73">
        <v>358866673.66000003</v>
      </c>
      <c r="AV73">
        <v>156937200</v>
      </c>
      <c r="AW73">
        <v>0.53424909576310298</v>
      </c>
      <c r="AX73">
        <v>0.109528635092143</v>
      </c>
      <c r="AY73">
        <v>20.877551020408099</v>
      </c>
      <c r="AZ73">
        <v>4.9850499439294104E-3</v>
      </c>
      <c r="BA73">
        <v>-42.489977179878302</v>
      </c>
      <c r="BC73">
        <v>911</v>
      </c>
      <c r="BD73" t="s">
        <v>219</v>
      </c>
      <c r="BE73">
        <v>2</v>
      </c>
      <c r="BF73">
        <v>300911157.5</v>
      </c>
      <c r="BG73">
        <v>444572034</v>
      </c>
      <c r="BH73">
        <v>45425000</v>
      </c>
      <c r="BI73">
        <v>6884771</v>
      </c>
      <c r="BJ73">
        <v>1.4774195735829401</v>
      </c>
      <c r="BK73">
        <v>0.150958177747197</v>
      </c>
      <c r="BL73">
        <v>43.706777974169299</v>
      </c>
      <c r="BM73">
        <v>4.4317102149740197E-3</v>
      </c>
      <c r="BN73">
        <v>15.021535300530299</v>
      </c>
    </row>
    <row r="74" spans="1:66" x14ac:dyDescent="0.4">
      <c r="A74">
        <v>467</v>
      </c>
      <c r="B74" t="s">
        <v>128</v>
      </c>
      <c r="C74">
        <v>2</v>
      </c>
      <c r="D74">
        <v>320746003200</v>
      </c>
      <c r="E74">
        <v>430273063</v>
      </c>
      <c r="F74">
        <v>41851699.829999998</v>
      </c>
      <c r="G74">
        <v>8715924</v>
      </c>
      <c r="H74">
        <v>1.3414759925526E-3</v>
      </c>
      <c r="I74">
        <v>1.3048237363039999E-4</v>
      </c>
      <c r="J74">
        <v>36800</v>
      </c>
      <c r="K74">
        <v>2.78981139443588E-4</v>
      </c>
      <c r="L74">
        <v>59.870457681377701</v>
      </c>
      <c r="N74">
        <v>567</v>
      </c>
      <c r="O74" t="s">
        <v>210</v>
      </c>
      <c r="P74">
        <v>2</v>
      </c>
      <c r="Q74">
        <v>1260000000000</v>
      </c>
      <c r="R74">
        <v>1019077319</v>
      </c>
      <c r="S74">
        <v>116521428.56999999</v>
      </c>
      <c r="T74">
        <v>29325028</v>
      </c>
      <c r="U74">
        <v>8.0879152301587302E-4</v>
      </c>
      <c r="V74" s="1">
        <v>9.2477324261904697E-5</v>
      </c>
      <c r="W74">
        <v>42966.710892825002</v>
      </c>
      <c r="X74">
        <v>1.1066076097213399E-3</v>
      </c>
      <c r="Y74">
        <v>30.060982710615502</v>
      </c>
      <c r="AP74">
        <v>888</v>
      </c>
      <c r="AQ74" t="s">
        <v>260</v>
      </c>
      <c r="AR74">
        <v>1</v>
      </c>
      <c r="AS74">
        <v>1097455632</v>
      </c>
      <c r="AT74">
        <v>784557088</v>
      </c>
      <c r="AU74">
        <v>105821711.94</v>
      </c>
      <c r="AV74">
        <v>30383618</v>
      </c>
      <c r="AW74">
        <v>0.71488729486970204</v>
      </c>
      <c r="AX74">
        <v>9.6424592351994007E-2</v>
      </c>
      <c r="AY74">
        <v>36.119978601626698</v>
      </c>
      <c r="AZ74">
        <v>1.6697483838880099E-3</v>
      </c>
      <c r="BA74">
        <v>-73.416848640212805</v>
      </c>
      <c r="BC74">
        <v>884</v>
      </c>
      <c r="BD74" t="s">
        <v>180</v>
      </c>
      <c r="BE74">
        <v>2</v>
      </c>
      <c r="BF74">
        <v>323944635</v>
      </c>
      <c r="BG74">
        <v>302328579</v>
      </c>
      <c r="BH74">
        <v>63756250</v>
      </c>
      <c r="BI74">
        <v>4810212</v>
      </c>
      <c r="BJ74">
        <v>0.93327237538599706</v>
      </c>
      <c r="BK74">
        <v>0.196812180575239</v>
      </c>
      <c r="BL74">
        <v>67.3451887359642</v>
      </c>
      <c r="BM74">
        <v>4.7709389041698498E-3</v>
      </c>
      <c r="BN74">
        <v>14.4776499729101</v>
      </c>
    </row>
    <row r="75" spans="1:66" x14ac:dyDescent="0.4">
      <c r="A75">
        <v>905</v>
      </c>
      <c r="B75" t="s">
        <v>221</v>
      </c>
      <c r="C75">
        <v>3</v>
      </c>
      <c r="D75">
        <v>327570000000</v>
      </c>
      <c r="E75">
        <v>263476019</v>
      </c>
      <c r="F75">
        <v>26380437.75</v>
      </c>
      <c r="G75">
        <v>6587732</v>
      </c>
      <c r="H75">
        <v>8.0433500931098697E-4</v>
      </c>
      <c r="I75" s="1">
        <v>8.0533741643007596E-5</v>
      </c>
      <c r="J75">
        <v>49724.245005716599</v>
      </c>
      <c r="K75">
        <v>2.8491657241494202E-4</v>
      </c>
      <c r="L75">
        <v>59.243559545842601</v>
      </c>
      <c r="N75">
        <v>258</v>
      </c>
      <c r="O75" t="s">
        <v>103</v>
      </c>
      <c r="P75">
        <v>2</v>
      </c>
      <c r="Q75">
        <v>1402300201400</v>
      </c>
      <c r="R75">
        <v>2148702627</v>
      </c>
      <c r="S75">
        <v>195199271.68000001</v>
      </c>
      <c r="T75">
        <v>40204191</v>
      </c>
      <c r="U75">
        <v>1.53227006945789E-3</v>
      </c>
      <c r="V75" s="1">
        <v>1.39199346534444E-4</v>
      </c>
      <c r="W75">
        <v>34879.453273913598</v>
      </c>
      <c r="X75">
        <v>1.2315841857008E-3</v>
      </c>
      <c r="Y75">
        <v>28.494953209442301</v>
      </c>
      <c r="BC75">
        <v>1112</v>
      </c>
      <c r="BD75" t="s">
        <v>115</v>
      </c>
      <c r="BE75">
        <v>2</v>
      </c>
      <c r="BF75">
        <v>345050468</v>
      </c>
      <c r="BG75">
        <v>1037481277.5700001</v>
      </c>
      <c r="BH75">
        <v>138562500</v>
      </c>
      <c r="BI75">
        <v>8753894</v>
      </c>
      <c r="BJ75">
        <v>3.0067522689753301</v>
      </c>
      <c r="BK75">
        <v>0.40157169124604603</v>
      </c>
      <c r="BL75">
        <v>39.416797598874197</v>
      </c>
      <c r="BM75">
        <v>5.0817779454295098E-3</v>
      </c>
      <c r="BN75">
        <v>14.0278837420994</v>
      </c>
    </row>
    <row r="76" spans="1:66" x14ac:dyDescent="0.4">
      <c r="A76">
        <v>19</v>
      </c>
      <c r="B76" t="s">
        <v>26</v>
      </c>
      <c r="C76">
        <v>1</v>
      </c>
      <c r="D76">
        <v>2990750000000</v>
      </c>
      <c r="E76">
        <v>4497931980</v>
      </c>
      <c r="F76">
        <v>428525210.33999997</v>
      </c>
      <c r="G76">
        <v>10440000</v>
      </c>
      <c r="H76">
        <v>1.50394783248349E-3</v>
      </c>
      <c r="I76">
        <v>1.43283527656942E-4</v>
      </c>
      <c r="J76">
        <v>286470.30651340901</v>
      </c>
      <c r="K76">
        <v>2.6013195315504698E-3</v>
      </c>
      <c r="L76">
        <v>58.819916524043101</v>
      </c>
      <c r="N76">
        <v>362</v>
      </c>
      <c r="O76" t="s">
        <v>71</v>
      </c>
      <c r="P76">
        <v>1</v>
      </c>
      <c r="Q76">
        <v>1573042160200</v>
      </c>
      <c r="R76">
        <v>1510488445</v>
      </c>
      <c r="S76">
        <v>112391108.40000001</v>
      </c>
      <c r="T76">
        <v>5237698</v>
      </c>
      <c r="U76">
        <v>9.6023392329672402E-4</v>
      </c>
      <c r="V76" s="1">
        <v>7.1448249286408394E-5</v>
      </c>
      <c r="W76">
        <v>300330.82476309198</v>
      </c>
      <c r="X76">
        <v>1.38154001975382E-3</v>
      </c>
      <c r="Y76">
        <v>26.904087395232001</v>
      </c>
      <c r="BC76">
        <v>994</v>
      </c>
      <c r="BD76" t="s">
        <v>65</v>
      </c>
      <c r="BE76">
        <v>2</v>
      </c>
      <c r="BF76">
        <v>362317517.5</v>
      </c>
      <c r="BG76">
        <v>1818974725</v>
      </c>
      <c r="BH76">
        <v>123766155.83</v>
      </c>
      <c r="BI76">
        <v>10151316</v>
      </c>
      <c r="BJ76">
        <v>5.0203885739529497</v>
      </c>
      <c r="BK76">
        <v>0.341595837496319</v>
      </c>
      <c r="BL76">
        <v>35.6916795319936</v>
      </c>
      <c r="BM76">
        <v>5.3360807778248601E-3</v>
      </c>
      <c r="BN76">
        <v>13.689538337242499</v>
      </c>
    </row>
    <row r="77" spans="1:66" x14ac:dyDescent="0.4">
      <c r="A77">
        <v>382</v>
      </c>
      <c r="B77" t="s">
        <v>54</v>
      </c>
      <c r="C77">
        <v>3</v>
      </c>
      <c r="D77">
        <v>355716581800</v>
      </c>
      <c r="E77">
        <v>597646265</v>
      </c>
      <c r="F77">
        <v>61900000</v>
      </c>
      <c r="G77">
        <v>7790334</v>
      </c>
      <c r="H77">
        <v>1.6801192173156001E-3</v>
      </c>
      <c r="I77">
        <v>1.7401494101504299E-4</v>
      </c>
      <c r="J77">
        <v>45661.274831091898</v>
      </c>
      <c r="K77">
        <v>3.0939814158077798E-4</v>
      </c>
      <c r="L77">
        <v>56.851398128574203</v>
      </c>
      <c r="N77">
        <v>129</v>
      </c>
      <c r="O77" s="2" t="s">
        <v>168</v>
      </c>
      <c r="P77">
        <v>2</v>
      </c>
      <c r="Q77">
        <v>1667944315230</v>
      </c>
      <c r="R77">
        <v>2502821868</v>
      </c>
      <c r="S77">
        <v>107283333.33</v>
      </c>
      <c r="T77">
        <v>24818764</v>
      </c>
      <c r="U77">
        <v>1.5005428209723299E-3</v>
      </c>
      <c r="V77" s="1">
        <v>6.4320692453816205E-5</v>
      </c>
      <c r="W77">
        <v>67204.971014269599</v>
      </c>
      <c r="X77">
        <v>1.46488878716267E-3</v>
      </c>
      <c r="Y77">
        <v>26.1274889431206</v>
      </c>
      <c r="BC77">
        <v>958</v>
      </c>
      <c r="BD77" t="s">
        <v>220</v>
      </c>
      <c r="BE77">
        <v>2</v>
      </c>
      <c r="BF77">
        <v>370088458.30000001</v>
      </c>
      <c r="BG77">
        <v>437992235</v>
      </c>
      <c r="BH77">
        <v>70364901.719999999</v>
      </c>
      <c r="BI77">
        <v>7608701</v>
      </c>
      <c r="BJ77">
        <v>1.1834798550917101</v>
      </c>
      <c r="BK77">
        <v>0.190129954452567</v>
      </c>
      <c r="BL77">
        <v>48.6401631894853</v>
      </c>
      <c r="BM77">
        <v>5.4505283709597799E-3</v>
      </c>
      <c r="BN77">
        <v>13.5450526571847</v>
      </c>
    </row>
    <row r="78" spans="1:66" x14ac:dyDescent="0.4">
      <c r="A78">
        <v>448</v>
      </c>
      <c r="B78" t="s">
        <v>209</v>
      </c>
      <c r="C78">
        <v>2</v>
      </c>
      <c r="D78">
        <v>366110400000</v>
      </c>
      <c r="E78">
        <v>218691263</v>
      </c>
      <c r="F78">
        <v>30279558.75</v>
      </c>
      <c r="G78">
        <v>3847759</v>
      </c>
      <c r="H78">
        <v>5.9733693170147505E-4</v>
      </c>
      <c r="I78" s="1">
        <v>8.2706087426087803E-5</v>
      </c>
      <c r="J78">
        <v>95148.994518627602</v>
      </c>
      <c r="K78">
        <v>3.1843856364582602E-4</v>
      </c>
      <c r="L78">
        <v>56.0385864484035</v>
      </c>
      <c r="N78">
        <v>587</v>
      </c>
      <c r="O78" t="s">
        <v>79</v>
      </c>
      <c r="P78">
        <v>2</v>
      </c>
      <c r="Q78">
        <v>1675703134600</v>
      </c>
      <c r="R78">
        <v>751986657</v>
      </c>
      <c r="S78">
        <v>343275000</v>
      </c>
      <c r="T78">
        <v>13635074</v>
      </c>
      <c r="U78">
        <v>4.4875887707848802E-4</v>
      </c>
      <c r="V78" s="1">
        <v>2.04854304388433E-4</v>
      </c>
      <c r="W78">
        <v>122896.519270815</v>
      </c>
      <c r="X78">
        <v>1.4717030479224299E-3</v>
      </c>
      <c r="Y78">
        <v>26.0669311796192</v>
      </c>
      <c r="BC78">
        <v>791</v>
      </c>
      <c r="BD78" t="s">
        <v>85</v>
      </c>
      <c r="BE78">
        <v>2</v>
      </c>
      <c r="BF78">
        <v>373863249.792</v>
      </c>
      <c r="BG78">
        <v>1292505280</v>
      </c>
      <c r="BH78">
        <v>138750000</v>
      </c>
      <c r="BI78">
        <v>17018902</v>
      </c>
      <c r="BJ78">
        <v>3.45716055461211</v>
      </c>
      <c r="BK78">
        <v>0.37112500380070501</v>
      </c>
      <c r="BL78">
        <v>21.967530560549601</v>
      </c>
      <c r="BM78">
        <v>5.5061221287767996E-3</v>
      </c>
      <c r="BN78">
        <v>13.4764988933449</v>
      </c>
    </row>
    <row r="79" spans="1:66" x14ac:dyDescent="0.4">
      <c r="A79">
        <v>1069</v>
      </c>
      <c r="B79" t="s">
        <v>45</v>
      </c>
      <c r="C79">
        <v>2</v>
      </c>
      <c r="D79">
        <v>380373000000</v>
      </c>
      <c r="E79">
        <v>753074771</v>
      </c>
      <c r="F79">
        <v>63772962.640000001</v>
      </c>
      <c r="G79">
        <v>8286143</v>
      </c>
      <c r="H79">
        <v>1.9798323514024301E-3</v>
      </c>
      <c r="I79">
        <v>1.6765901533494701E-4</v>
      </c>
      <c r="J79">
        <v>45904.711033830798</v>
      </c>
      <c r="K79">
        <v>3.3084400707997902E-4</v>
      </c>
      <c r="L79">
        <v>54.977927455344698</v>
      </c>
      <c r="N79">
        <v>5</v>
      </c>
      <c r="O79" t="s">
        <v>148</v>
      </c>
      <c r="P79">
        <v>2</v>
      </c>
      <c r="Q79">
        <v>1699205200000</v>
      </c>
      <c r="R79">
        <v>2004032796.72</v>
      </c>
      <c r="S79">
        <v>230673953.44999999</v>
      </c>
      <c r="T79">
        <v>60167577</v>
      </c>
      <c r="U79">
        <v>1.1793942230873501E-3</v>
      </c>
      <c r="V79" s="1">
        <v>1.3575402985466299E-4</v>
      </c>
      <c r="W79">
        <v>28241.210378141001</v>
      </c>
      <c r="X79">
        <v>1.4923439720619599E-3</v>
      </c>
      <c r="Y79">
        <v>25.8860348872829</v>
      </c>
      <c r="BC79">
        <v>1041</v>
      </c>
      <c r="BD79" t="s">
        <v>134</v>
      </c>
      <c r="BE79">
        <v>2</v>
      </c>
      <c r="BF79">
        <v>387840430.89999998</v>
      </c>
      <c r="BG79">
        <v>1028964864</v>
      </c>
      <c r="BH79">
        <v>64734129.130000003</v>
      </c>
      <c r="BI79">
        <v>14620000</v>
      </c>
      <c r="BJ79">
        <v>2.6530623989155599</v>
      </c>
      <c r="BK79">
        <v>0.16690918215973899</v>
      </c>
      <c r="BL79">
        <v>26.528073248974</v>
      </c>
      <c r="BM79">
        <v>5.7119729746128002E-3</v>
      </c>
      <c r="BN79">
        <v>13.2314344018373</v>
      </c>
    </row>
    <row r="80" spans="1:66" x14ac:dyDescent="0.4">
      <c r="A80">
        <v>708</v>
      </c>
      <c r="B80" t="s">
        <v>77</v>
      </c>
      <c r="C80">
        <v>2</v>
      </c>
      <c r="D80">
        <v>399153950700</v>
      </c>
      <c r="E80">
        <v>599634935</v>
      </c>
      <c r="F80">
        <v>63750000</v>
      </c>
      <c r="G80">
        <v>9778827</v>
      </c>
      <c r="H80">
        <v>1.50226481273306E-3</v>
      </c>
      <c r="I80">
        <v>1.5971281228258099E-4</v>
      </c>
      <c r="J80">
        <v>40818.183070423402</v>
      </c>
      <c r="K80">
        <v>3.47179459350144E-4</v>
      </c>
      <c r="L80">
        <v>53.668936416277198</v>
      </c>
      <c r="N80">
        <v>596</v>
      </c>
      <c r="O80" t="s">
        <v>131</v>
      </c>
      <c r="P80">
        <v>1</v>
      </c>
      <c r="Q80">
        <v>1853134478100</v>
      </c>
      <c r="R80">
        <v>1685441625</v>
      </c>
      <c r="S80">
        <v>114399844.11</v>
      </c>
      <c r="T80">
        <v>8282577</v>
      </c>
      <c r="U80">
        <v>9.0950853535900198E-4</v>
      </c>
      <c r="V80" s="1">
        <v>6.1733158312014594E-5</v>
      </c>
      <c r="W80">
        <v>223738.877175545</v>
      </c>
      <c r="X80">
        <v>1.62753390103368E-3</v>
      </c>
      <c r="Y80">
        <v>24.7876284773963</v>
      </c>
      <c r="BC80">
        <v>976</v>
      </c>
      <c r="BD80" t="s">
        <v>140</v>
      </c>
      <c r="BE80">
        <v>2</v>
      </c>
      <c r="BF80">
        <v>437082954</v>
      </c>
      <c r="BG80">
        <v>675920851</v>
      </c>
      <c r="BH80">
        <v>103050825.40000001</v>
      </c>
      <c r="BI80">
        <v>14335386</v>
      </c>
      <c r="BJ80">
        <v>1.54643608224538</v>
      </c>
      <c r="BK80">
        <v>0.23576949056677199</v>
      </c>
      <c r="BL80">
        <v>30.489793159388899</v>
      </c>
      <c r="BM80">
        <v>6.4371989663853501E-3</v>
      </c>
      <c r="BN80">
        <v>12.4638304803587</v>
      </c>
    </row>
    <row r="81" spans="1:66" x14ac:dyDescent="0.4">
      <c r="A81">
        <v>1136</v>
      </c>
      <c r="B81" t="s">
        <v>91</v>
      </c>
      <c r="C81">
        <v>2</v>
      </c>
      <c r="D81">
        <v>414812085400</v>
      </c>
      <c r="E81">
        <v>357730092</v>
      </c>
      <c r="F81">
        <v>82791666.670000002</v>
      </c>
      <c r="G81">
        <v>8265167</v>
      </c>
      <c r="H81">
        <v>8.62390717606609E-4</v>
      </c>
      <c r="I81">
        <v>1.9958836683884099E-4</v>
      </c>
      <c r="J81">
        <v>50187.9859656798</v>
      </c>
      <c r="K81">
        <v>3.6079872261947702E-4</v>
      </c>
      <c r="L81">
        <v>52.646257587626899</v>
      </c>
      <c r="N81">
        <v>408</v>
      </c>
      <c r="O81" t="s">
        <v>118</v>
      </c>
      <c r="P81">
        <v>2</v>
      </c>
      <c r="Q81">
        <v>1874040000000</v>
      </c>
      <c r="R81">
        <v>2359756000</v>
      </c>
      <c r="S81">
        <v>265053125</v>
      </c>
      <c r="T81">
        <v>34708839</v>
      </c>
      <c r="U81">
        <v>1.2591812341252E-3</v>
      </c>
      <c r="V81">
        <v>1.4143408091609499E-4</v>
      </c>
      <c r="W81">
        <v>53993.162951949998</v>
      </c>
      <c r="X81">
        <v>1.64589438485887E-3</v>
      </c>
      <c r="Y81">
        <v>24.648983732703499</v>
      </c>
      <c r="BC81">
        <v>163</v>
      </c>
      <c r="BD81" t="s">
        <v>164</v>
      </c>
      <c r="BE81">
        <v>2</v>
      </c>
      <c r="BF81">
        <v>468832845</v>
      </c>
      <c r="BG81">
        <v>915889246</v>
      </c>
      <c r="BH81">
        <v>68080000</v>
      </c>
      <c r="BI81">
        <v>6545660</v>
      </c>
      <c r="BJ81">
        <v>1.95355179520325</v>
      </c>
      <c r="BK81">
        <v>0.14521166920376399</v>
      </c>
      <c r="BL81">
        <v>71.624991979418397</v>
      </c>
      <c r="BM81">
        <v>6.9047998271776698E-3</v>
      </c>
      <c r="BN81">
        <v>12.034400308593099</v>
      </c>
    </row>
    <row r="82" spans="1:66" x14ac:dyDescent="0.4">
      <c r="A82">
        <v>1080</v>
      </c>
      <c r="B82" t="s">
        <v>212</v>
      </c>
      <c r="C82">
        <v>2</v>
      </c>
      <c r="D82">
        <v>426092874750</v>
      </c>
      <c r="E82">
        <v>333624506</v>
      </c>
      <c r="F82">
        <v>28754500.670000002</v>
      </c>
      <c r="G82">
        <v>4898520</v>
      </c>
      <c r="H82">
        <v>7.8298541414414903E-4</v>
      </c>
      <c r="I82" s="1">
        <v>6.7484115257433094E-5</v>
      </c>
      <c r="J82">
        <v>86984.002259866204</v>
      </c>
      <c r="K82">
        <v>3.7061062186463699E-4</v>
      </c>
      <c r="L82">
        <v>51.9446792461789</v>
      </c>
      <c r="N82">
        <v>298</v>
      </c>
      <c r="O82" t="s">
        <v>202</v>
      </c>
      <c r="P82">
        <v>1</v>
      </c>
      <c r="Q82">
        <v>1909949588000</v>
      </c>
      <c r="R82">
        <v>1759087683</v>
      </c>
      <c r="S82">
        <v>130730247.15000001</v>
      </c>
      <c r="T82">
        <v>23130500</v>
      </c>
      <c r="U82">
        <v>9.2101262465362995E-4</v>
      </c>
      <c r="V82" s="1">
        <v>6.8446962145683602E-5</v>
      </c>
      <c r="W82">
        <v>82572.775685782806</v>
      </c>
      <c r="X82">
        <v>1.67743233989281E-3</v>
      </c>
      <c r="Y82">
        <v>24.4161674164686</v>
      </c>
      <c r="BC82">
        <v>22</v>
      </c>
      <c r="BD82" t="s">
        <v>144</v>
      </c>
      <c r="BE82">
        <v>2</v>
      </c>
      <c r="BF82">
        <v>526271659.64999998</v>
      </c>
      <c r="BG82">
        <v>2648970036</v>
      </c>
      <c r="BH82">
        <v>221633333.33000001</v>
      </c>
      <c r="BI82">
        <v>27508525</v>
      </c>
      <c r="BJ82">
        <v>5.0334651076626704</v>
      </c>
      <c r="BK82">
        <v>0.42113864439783499</v>
      </c>
      <c r="BL82">
        <v>19.131220581619601</v>
      </c>
      <c r="BM82">
        <v>7.7507378234129998E-3</v>
      </c>
      <c r="BN82">
        <v>11.3586960067221</v>
      </c>
    </row>
    <row r="83" spans="1:66" x14ac:dyDescent="0.4">
      <c r="A83">
        <v>553</v>
      </c>
      <c r="B83" t="s">
        <v>39</v>
      </c>
      <c r="C83">
        <v>1</v>
      </c>
      <c r="D83">
        <v>4003444563600</v>
      </c>
      <c r="E83">
        <v>4982443783</v>
      </c>
      <c r="F83">
        <v>688472658.71000004</v>
      </c>
      <c r="G83">
        <v>24290936</v>
      </c>
      <c r="H83">
        <v>1.24453922212417E-3</v>
      </c>
      <c r="I83">
        <v>1.71970074213019E-4</v>
      </c>
      <c r="J83">
        <v>164812.28074537701</v>
      </c>
      <c r="K83">
        <v>3.4821494731329E-3</v>
      </c>
      <c r="L83">
        <v>50.839064447685097</v>
      </c>
      <c r="N83">
        <v>352</v>
      </c>
      <c r="O83" s="2" t="s">
        <v>153</v>
      </c>
      <c r="P83">
        <v>1</v>
      </c>
      <c r="Q83">
        <v>2068204800000</v>
      </c>
      <c r="R83">
        <v>2336924681</v>
      </c>
      <c r="S83">
        <v>94545130.840000004</v>
      </c>
      <c r="T83">
        <v>11382268</v>
      </c>
      <c r="U83">
        <v>1.1299290481290799E-3</v>
      </c>
      <c r="V83" s="1">
        <v>4.5713621223584802E-5</v>
      </c>
      <c r="W83">
        <v>181704.103259561</v>
      </c>
      <c r="X83">
        <v>1.81642156360492E-3</v>
      </c>
      <c r="Y83">
        <v>23.463439496829501</v>
      </c>
      <c r="BC83">
        <v>802</v>
      </c>
      <c r="BD83" t="s">
        <v>165</v>
      </c>
      <c r="BE83">
        <v>2</v>
      </c>
      <c r="BF83">
        <v>545535338.60000002</v>
      </c>
      <c r="BG83">
        <v>852690951</v>
      </c>
      <c r="BH83">
        <v>78260707.75</v>
      </c>
      <c r="BI83">
        <v>6590878</v>
      </c>
      <c r="BJ83">
        <v>1.56303522552406</v>
      </c>
      <c r="BK83">
        <v>0.14345671528968101</v>
      </c>
      <c r="BL83">
        <v>82.771269412057094</v>
      </c>
      <c r="BM83">
        <v>8.0344462890277902E-3</v>
      </c>
      <c r="BN83">
        <v>11.1563472638873</v>
      </c>
    </row>
    <row r="84" spans="1:66" x14ac:dyDescent="0.4">
      <c r="A84">
        <v>376</v>
      </c>
      <c r="B84" t="s">
        <v>167</v>
      </c>
      <c r="C84">
        <v>2</v>
      </c>
      <c r="D84">
        <v>447323381000</v>
      </c>
      <c r="E84">
        <v>293692167</v>
      </c>
      <c r="F84">
        <v>40637500</v>
      </c>
      <c r="G84">
        <v>2855404</v>
      </c>
      <c r="H84">
        <v>6.5655447373093995E-4</v>
      </c>
      <c r="I84" s="1">
        <v>9.0845910869121301E-5</v>
      </c>
      <c r="J84">
        <v>156658.52572875799</v>
      </c>
      <c r="K84">
        <v>3.8907666903435399E-4</v>
      </c>
      <c r="L84">
        <v>50.697016898203501</v>
      </c>
      <c r="N84">
        <v>991</v>
      </c>
      <c r="O84" s="2" t="s">
        <v>133</v>
      </c>
      <c r="P84">
        <v>1</v>
      </c>
      <c r="Q84">
        <v>2405866859550</v>
      </c>
      <c r="R84">
        <v>3222417310</v>
      </c>
      <c r="S84">
        <v>297015140.12</v>
      </c>
      <c r="T84">
        <v>52738513</v>
      </c>
      <c r="U84">
        <v>1.3393996834067199E-3</v>
      </c>
      <c r="V84" s="1">
        <v>1.23454520744158E-4</v>
      </c>
      <c r="W84">
        <v>45618.784502892602</v>
      </c>
      <c r="X84">
        <v>2.11297664663049E-3</v>
      </c>
      <c r="Y84">
        <v>21.754677596525699</v>
      </c>
      <c r="BC84">
        <v>273</v>
      </c>
      <c r="BD84" t="s">
        <v>170</v>
      </c>
      <c r="BE84">
        <v>2</v>
      </c>
      <c r="BF84">
        <v>548450574.5</v>
      </c>
      <c r="BG84">
        <v>1095866163</v>
      </c>
      <c r="BH84">
        <v>58958333.329999998</v>
      </c>
      <c r="BI84">
        <v>12735000</v>
      </c>
      <c r="BJ84">
        <v>1.9981128910277</v>
      </c>
      <c r="BK84">
        <v>0.10749981141646101</v>
      </c>
      <c r="BL84">
        <v>43.066397683549198</v>
      </c>
      <c r="BM84">
        <v>8.0773808243385595E-3</v>
      </c>
      <c r="BN84">
        <v>11.1266575164966</v>
      </c>
    </row>
    <row r="85" spans="1:66" x14ac:dyDescent="0.4">
      <c r="A85">
        <v>530</v>
      </c>
      <c r="B85" t="s">
        <v>177</v>
      </c>
      <c r="C85">
        <v>2</v>
      </c>
      <c r="D85">
        <v>473884493040</v>
      </c>
      <c r="E85">
        <v>364132045</v>
      </c>
      <c r="F85">
        <v>36100000</v>
      </c>
      <c r="G85">
        <v>3246449</v>
      </c>
      <c r="H85">
        <v>7.6839831298143796E-4</v>
      </c>
      <c r="I85" s="1">
        <v>7.6178901251687105E-5</v>
      </c>
      <c r="J85">
        <v>145970.10242267701</v>
      </c>
      <c r="K85">
        <v>4.1217921506105299E-4</v>
      </c>
      <c r="L85">
        <v>49.255752242069299</v>
      </c>
      <c r="N85">
        <v>336</v>
      </c>
      <c r="O85" s="2" t="s">
        <v>189</v>
      </c>
      <c r="P85">
        <v>1</v>
      </c>
      <c r="Q85">
        <v>2501664000000</v>
      </c>
      <c r="R85">
        <v>2435406304</v>
      </c>
      <c r="S85">
        <v>107782871.25</v>
      </c>
      <c r="T85">
        <v>16019178</v>
      </c>
      <c r="U85">
        <v>9.7351455031531001E-4</v>
      </c>
      <c r="V85" s="1">
        <v>4.3084471475785702E-5</v>
      </c>
      <c r="W85">
        <v>156166.81455190701</v>
      </c>
      <c r="X85">
        <v>2.19711144394121E-3</v>
      </c>
      <c r="Y85">
        <v>21.334081847530701</v>
      </c>
      <c r="BC85">
        <v>624</v>
      </c>
      <c r="BD85" t="s">
        <v>129</v>
      </c>
      <c r="BE85">
        <v>2</v>
      </c>
      <c r="BF85">
        <v>594388550.70000005</v>
      </c>
      <c r="BG85">
        <v>1520680176</v>
      </c>
      <c r="BH85">
        <v>128160194.95999999</v>
      </c>
      <c r="BI85">
        <v>27381206</v>
      </c>
      <c r="BJ85">
        <v>2.5583941248685198</v>
      </c>
      <c r="BK85">
        <v>0.215616863428927</v>
      </c>
      <c r="BL85">
        <v>21.707902518975899</v>
      </c>
      <c r="BM85">
        <v>8.7539386498182402E-3</v>
      </c>
      <c r="BN85">
        <v>10.688044434891101</v>
      </c>
    </row>
    <row r="86" spans="1:66" x14ac:dyDescent="0.4">
      <c r="A86">
        <v>52</v>
      </c>
      <c r="B86" t="s">
        <v>68</v>
      </c>
      <c r="C86">
        <v>1</v>
      </c>
      <c r="D86">
        <v>4375320465850</v>
      </c>
      <c r="E86">
        <v>6006117000</v>
      </c>
      <c r="F86">
        <v>716960948.51999998</v>
      </c>
      <c r="G86">
        <v>55677883</v>
      </c>
      <c r="H86">
        <v>1.3727261915735299E-3</v>
      </c>
      <c r="I86">
        <v>1.63864785246242E-4</v>
      </c>
      <c r="J86">
        <v>78582.737527035599</v>
      </c>
      <c r="K86">
        <v>3.8056028035135399E-3</v>
      </c>
      <c r="L86">
        <v>48.630588540117699</v>
      </c>
      <c r="N86">
        <v>14</v>
      </c>
      <c r="O86" t="s">
        <v>94</v>
      </c>
      <c r="P86">
        <v>2</v>
      </c>
      <c r="Q86">
        <v>2506854789200</v>
      </c>
      <c r="R86">
        <v>2448974999</v>
      </c>
      <c r="S86">
        <v>492138643.58999997</v>
      </c>
      <c r="T86">
        <v>69584788</v>
      </c>
      <c r="U86">
        <v>9.7691139093921309E-4</v>
      </c>
      <c r="V86">
        <v>1.9631717230300899E-4</v>
      </c>
      <c r="W86">
        <v>36025.9025176594</v>
      </c>
      <c r="X86">
        <v>2.2016703065040502E-3</v>
      </c>
      <c r="Y86">
        <v>21.311982819788401</v>
      </c>
      <c r="BC86">
        <v>567</v>
      </c>
      <c r="BD86" t="s">
        <v>210</v>
      </c>
      <c r="BE86">
        <v>2</v>
      </c>
      <c r="BF86">
        <v>623702352</v>
      </c>
      <c r="BG86">
        <v>1019077319</v>
      </c>
      <c r="BH86">
        <v>116521428.56999999</v>
      </c>
      <c r="BI86">
        <v>29325028</v>
      </c>
      <c r="BJ86">
        <v>1.6339161071497701</v>
      </c>
      <c r="BK86">
        <v>0.18682217278218599</v>
      </c>
      <c r="BL86">
        <v>21.268602096475401</v>
      </c>
      <c r="BM86">
        <v>9.1856616664728399E-3</v>
      </c>
      <c r="BN86">
        <v>10.4338545301216</v>
      </c>
    </row>
    <row r="87" spans="1:66" x14ac:dyDescent="0.4">
      <c r="A87">
        <v>1108</v>
      </c>
      <c r="B87" t="s">
        <v>111</v>
      </c>
      <c r="C87">
        <v>1</v>
      </c>
      <c r="D87">
        <v>4390441492500</v>
      </c>
      <c r="E87">
        <v>7356945081</v>
      </c>
      <c r="F87">
        <v>353904180.05000001</v>
      </c>
      <c r="G87">
        <v>41796270</v>
      </c>
      <c r="H87">
        <v>1.6756731853886501E-3</v>
      </c>
      <c r="I87" s="1">
        <v>8.0607879789437804E-5</v>
      </c>
      <c r="J87">
        <v>105043.85899746499</v>
      </c>
      <c r="K87">
        <v>3.8187548964540201E-3</v>
      </c>
      <c r="L87">
        <v>48.546772520102699</v>
      </c>
      <c r="N87">
        <v>931</v>
      </c>
      <c r="O87" t="s">
        <v>142</v>
      </c>
      <c r="P87">
        <v>1</v>
      </c>
      <c r="Q87">
        <v>2600003565250</v>
      </c>
      <c r="R87">
        <v>3556593738</v>
      </c>
      <c r="S87">
        <v>260692186.66999999</v>
      </c>
      <c r="T87">
        <v>39802356</v>
      </c>
      <c r="U87">
        <v>1.36791879270289E-3</v>
      </c>
      <c r="V87" s="1">
        <v>1.0026608815243399E-4</v>
      </c>
      <c r="W87">
        <v>65322.8558945103</v>
      </c>
      <c r="X87">
        <v>2.2834791512764E-3</v>
      </c>
      <c r="Y87">
        <v>20.926734992877599</v>
      </c>
      <c r="BC87">
        <v>245</v>
      </c>
      <c r="BD87" t="s">
        <v>53</v>
      </c>
      <c r="BE87">
        <v>2</v>
      </c>
      <c r="BF87">
        <v>674501961</v>
      </c>
      <c r="BG87">
        <v>1739637871</v>
      </c>
      <c r="BH87">
        <v>111250000</v>
      </c>
      <c r="BI87">
        <v>20335117</v>
      </c>
      <c r="BJ87">
        <v>2.5791442747191602</v>
      </c>
      <c r="BK87">
        <v>0.16493651083691899</v>
      </c>
      <c r="BL87">
        <v>33.169317934094003</v>
      </c>
      <c r="BM87">
        <v>9.9338198537344304E-3</v>
      </c>
      <c r="BN87">
        <v>10.033255227152299</v>
      </c>
    </row>
    <row r="88" spans="1:66" x14ac:dyDescent="0.4">
      <c r="A88">
        <v>303</v>
      </c>
      <c r="B88" t="s">
        <v>49</v>
      </c>
      <c r="C88">
        <v>2</v>
      </c>
      <c r="D88">
        <v>502800000000</v>
      </c>
      <c r="E88">
        <v>338539000</v>
      </c>
      <c r="F88">
        <v>68950000</v>
      </c>
      <c r="G88">
        <v>1680000</v>
      </c>
      <c r="H88">
        <v>6.7330747812251396E-4</v>
      </c>
      <c r="I88">
        <v>1.37132060461416E-4</v>
      </c>
      <c r="J88">
        <v>299285.71428571403</v>
      </c>
      <c r="K88">
        <v>4.3732958637919501E-4</v>
      </c>
      <c r="L88">
        <v>47.818458328021002</v>
      </c>
      <c r="N88">
        <v>740</v>
      </c>
      <c r="O88" s="2" t="s">
        <v>181</v>
      </c>
      <c r="P88">
        <v>1</v>
      </c>
      <c r="Q88">
        <v>2644656709000</v>
      </c>
      <c r="R88">
        <v>3473164583.4400001</v>
      </c>
      <c r="S88">
        <v>225804914.78</v>
      </c>
      <c r="T88">
        <v>70106125</v>
      </c>
      <c r="U88">
        <v>1.3132761509728301E-3</v>
      </c>
      <c r="V88" s="1">
        <v>8.5381559735736495E-5</v>
      </c>
      <c r="W88">
        <v>37723.618428489601</v>
      </c>
      <c r="X88">
        <v>2.3226962216507901E-3</v>
      </c>
      <c r="Y88">
        <v>20.7493164049617</v>
      </c>
      <c r="BC88">
        <v>587</v>
      </c>
      <c r="BD88" t="s">
        <v>79</v>
      </c>
      <c r="BE88">
        <v>2</v>
      </c>
      <c r="BF88">
        <v>743189504.20000005</v>
      </c>
      <c r="BG88">
        <v>751986657</v>
      </c>
      <c r="BH88">
        <v>343275000</v>
      </c>
      <c r="BI88">
        <v>13635074</v>
      </c>
      <c r="BJ88">
        <v>1.0118370250794499</v>
      </c>
      <c r="BK88">
        <v>0.461894305638123</v>
      </c>
      <c r="BL88">
        <v>54.505718428810802</v>
      </c>
      <c r="BM88">
        <v>1.09454250377027E-2</v>
      </c>
      <c r="BN88">
        <v>9.5583666255715407</v>
      </c>
    </row>
    <row r="89" spans="1:66" x14ac:dyDescent="0.4">
      <c r="A89">
        <v>1135</v>
      </c>
      <c r="B89" t="s">
        <v>204</v>
      </c>
      <c r="C89">
        <v>2</v>
      </c>
      <c r="D89">
        <v>509421000000</v>
      </c>
      <c r="E89">
        <v>181483615</v>
      </c>
      <c r="F89">
        <v>49482700.549999997</v>
      </c>
      <c r="G89">
        <v>4308000</v>
      </c>
      <c r="H89">
        <v>3.5625467933202598E-4</v>
      </c>
      <c r="I89" s="1">
        <v>9.7135180037729094E-5</v>
      </c>
      <c r="J89">
        <v>118250</v>
      </c>
      <c r="K89">
        <v>4.43088455097207E-4</v>
      </c>
      <c r="L89">
        <v>47.506691151761103</v>
      </c>
      <c r="N89">
        <v>912</v>
      </c>
      <c r="O89" s="2" t="s">
        <v>116</v>
      </c>
      <c r="P89">
        <v>2</v>
      </c>
      <c r="Q89">
        <v>2744190917600</v>
      </c>
      <c r="R89">
        <v>3691744206</v>
      </c>
      <c r="S89">
        <v>402777224.56</v>
      </c>
      <c r="T89">
        <v>84018888</v>
      </c>
      <c r="U89">
        <v>1.34529422946589E-3</v>
      </c>
      <c r="V89" s="1">
        <v>1.46774490789532E-4</v>
      </c>
      <c r="W89">
        <v>32661.595302237201</v>
      </c>
      <c r="X89">
        <v>2.4101131364637702E-3</v>
      </c>
      <c r="Y89">
        <v>20.3695429788491</v>
      </c>
      <c r="BC89">
        <v>5</v>
      </c>
      <c r="BD89" t="s">
        <v>148</v>
      </c>
      <c r="BE89">
        <v>2</v>
      </c>
      <c r="BF89">
        <v>799674075.20000005</v>
      </c>
      <c r="BG89">
        <v>2004032796.72</v>
      </c>
      <c r="BH89">
        <v>230673953.44999999</v>
      </c>
      <c r="BI89">
        <v>60167577</v>
      </c>
      <c r="BJ89">
        <v>2.5060619805872602</v>
      </c>
      <c r="BK89">
        <v>0.288459962131832</v>
      </c>
      <c r="BL89">
        <v>13.290780767189601</v>
      </c>
      <c r="BM89">
        <v>1.1777309280111101E-2</v>
      </c>
      <c r="BN89">
        <v>9.2146100241886906</v>
      </c>
    </row>
    <row r="90" spans="1:66" x14ac:dyDescent="0.4">
      <c r="A90">
        <v>4</v>
      </c>
      <c r="B90" t="s">
        <v>138</v>
      </c>
      <c r="C90">
        <v>2</v>
      </c>
      <c r="D90">
        <v>529114711000</v>
      </c>
      <c r="E90">
        <v>674054031</v>
      </c>
      <c r="F90">
        <v>32750000</v>
      </c>
      <c r="G90">
        <v>3426909</v>
      </c>
      <c r="H90">
        <v>1.27392797249215E-3</v>
      </c>
      <c r="I90" s="1">
        <v>6.1895840956877095E-5</v>
      </c>
      <c r="J90">
        <v>154399.98873620501</v>
      </c>
      <c r="K90">
        <v>4.6021781564991497E-4</v>
      </c>
      <c r="L90">
        <v>46.614205518726102</v>
      </c>
      <c r="N90">
        <v>948</v>
      </c>
      <c r="O90" s="2" t="s">
        <v>201</v>
      </c>
      <c r="P90">
        <v>2</v>
      </c>
      <c r="Q90">
        <v>2789969129500</v>
      </c>
      <c r="R90">
        <v>2501913098</v>
      </c>
      <c r="S90">
        <v>250946875</v>
      </c>
      <c r="T90">
        <v>56938146</v>
      </c>
      <c r="U90">
        <v>8.9675296817652399E-4</v>
      </c>
      <c r="V90" s="1">
        <v>8.9946111713778306E-5</v>
      </c>
      <c r="W90">
        <v>48999.999569708503</v>
      </c>
      <c r="X90">
        <v>2.45031830920026E-3</v>
      </c>
      <c r="Y90">
        <v>20.201738607286899</v>
      </c>
      <c r="BC90">
        <v>935</v>
      </c>
      <c r="BD90" t="s">
        <v>171</v>
      </c>
      <c r="BE90">
        <v>2</v>
      </c>
      <c r="BF90">
        <v>825160214.39999998</v>
      </c>
      <c r="BG90">
        <v>1166431157.1199999</v>
      </c>
      <c r="BH90">
        <v>168235018.13</v>
      </c>
      <c r="BI90">
        <v>15469818</v>
      </c>
      <c r="BJ90">
        <v>1.41358143153829</v>
      </c>
      <c r="BK90">
        <v>0.203881640430675</v>
      </c>
      <c r="BL90">
        <v>53.340007904423899</v>
      </c>
      <c r="BM90">
        <v>1.21526598798405E-2</v>
      </c>
      <c r="BN90">
        <v>9.0711913535749709</v>
      </c>
    </row>
    <row r="91" spans="1:66" x14ac:dyDescent="0.4">
      <c r="A91">
        <v>812</v>
      </c>
      <c r="B91" t="s">
        <v>89</v>
      </c>
      <c r="C91">
        <v>2</v>
      </c>
      <c r="D91">
        <v>565242966400</v>
      </c>
      <c r="E91">
        <v>715512928.15999997</v>
      </c>
      <c r="F91">
        <v>91500168.629999995</v>
      </c>
      <c r="G91">
        <v>10746064</v>
      </c>
      <c r="H91">
        <v>1.2658502107811399E-3</v>
      </c>
      <c r="I91">
        <v>1.6187758905300301E-4</v>
      </c>
      <c r="J91">
        <v>52600</v>
      </c>
      <c r="K91">
        <v>4.91641751590018E-4</v>
      </c>
      <c r="L91">
        <v>45.099904407434998</v>
      </c>
      <c r="N91">
        <v>648</v>
      </c>
      <c r="O91" s="2" t="s">
        <v>137</v>
      </c>
      <c r="P91">
        <v>1</v>
      </c>
      <c r="Q91">
        <v>26769562325000</v>
      </c>
      <c r="R91">
        <v>26861222000</v>
      </c>
      <c r="S91">
        <v>3468701979.8200002</v>
      </c>
      <c r="T91">
        <v>330973328</v>
      </c>
      <c r="U91">
        <v>1.00342402590999E-3</v>
      </c>
      <c r="V91" s="1">
        <v>1.2957634262778301E-4</v>
      </c>
      <c r="W91">
        <v>80881.328071849901</v>
      </c>
      <c r="X91">
        <v>2.3510636014091001E-2</v>
      </c>
      <c r="Y91">
        <v>19.565415074802001</v>
      </c>
      <c r="BC91">
        <v>80</v>
      </c>
      <c r="BD91" t="s">
        <v>92</v>
      </c>
      <c r="BE91">
        <v>2</v>
      </c>
      <c r="BF91">
        <v>975648485.60000002</v>
      </c>
      <c r="BG91">
        <v>1236931257</v>
      </c>
      <c r="BH91">
        <v>166450000</v>
      </c>
      <c r="BI91">
        <v>7731850</v>
      </c>
      <c r="BJ91">
        <v>1.2678042094631199</v>
      </c>
      <c r="BK91">
        <v>0.17060447738781301</v>
      </c>
      <c r="BL91">
        <v>126.185645815684</v>
      </c>
      <c r="BM91">
        <v>1.43689964698549E-2</v>
      </c>
      <c r="BN91">
        <v>8.3423187741959506</v>
      </c>
    </row>
    <row r="92" spans="1:66" x14ac:dyDescent="0.4">
      <c r="A92">
        <v>895</v>
      </c>
      <c r="B92" t="s">
        <v>195</v>
      </c>
      <c r="C92">
        <v>2</v>
      </c>
      <c r="D92">
        <v>568344000000</v>
      </c>
      <c r="E92">
        <v>459157853</v>
      </c>
      <c r="F92">
        <v>33485821</v>
      </c>
      <c r="G92">
        <v>4284000</v>
      </c>
      <c r="H92">
        <v>8.0788721795250703E-4</v>
      </c>
      <c r="I92" s="1">
        <v>5.8918227341187699E-5</v>
      </c>
      <c r="J92">
        <v>132666.66666666599</v>
      </c>
      <c r="K92">
        <v>4.9433899451292198E-4</v>
      </c>
      <c r="L92">
        <v>44.976697674954998</v>
      </c>
      <c r="N92">
        <v>107</v>
      </c>
      <c r="O92" s="2" t="s">
        <v>166</v>
      </c>
      <c r="P92">
        <v>1</v>
      </c>
      <c r="Q92">
        <v>3240750000000</v>
      </c>
      <c r="R92">
        <v>3504313509.8400002</v>
      </c>
      <c r="S92">
        <v>362461356.85000002</v>
      </c>
      <c r="T92">
        <v>59801586</v>
      </c>
      <c r="U92">
        <v>1.0813279363850899E-3</v>
      </c>
      <c r="V92" s="1">
        <v>1.11844899128288E-4</v>
      </c>
      <c r="W92">
        <v>54191.7065544047</v>
      </c>
      <c r="X92">
        <v>2.84622112000352E-3</v>
      </c>
      <c r="Y92">
        <v>18.744146999551099</v>
      </c>
      <c r="BC92">
        <v>408</v>
      </c>
      <c r="BD92" t="s">
        <v>118</v>
      </c>
      <c r="BE92">
        <v>2</v>
      </c>
      <c r="BF92">
        <v>989834288.39999998</v>
      </c>
      <c r="BG92">
        <v>2359756000</v>
      </c>
      <c r="BH92">
        <v>265053125</v>
      </c>
      <c r="BI92">
        <v>34708839</v>
      </c>
      <c r="BJ92">
        <v>2.3839909646031598</v>
      </c>
      <c r="BK92">
        <v>0.26777525097502902</v>
      </c>
      <c r="BL92">
        <v>28.518219477176899</v>
      </c>
      <c r="BM92">
        <v>1.45779198201842E-2</v>
      </c>
      <c r="BN92">
        <v>8.2823241052116998</v>
      </c>
    </row>
    <row r="93" spans="1:66" x14ac:dyDescent="0.4">
      <c r="A93">
        <v>884</v>
      </c>
      <c r="B93" t="s">
        <v>180</v>
      </c>
      <c r="C93">
        <v>2</v>
      </c>
      <c r="D93">
        <v>572696535600</v>
      </c>
      <c r="E93">
        <v>302328579</v>
      </c>
      <c r="F93">
        <v>63756250</v>
      </c>
      <c r="G93">
        <v>4810212</v>
      </c>
      <c r="H93">
        <v>5.27903628198584E-4</v>
      </c>
      <c r="I93">
        <v>1.11326411173771E-4</v>
      </c>
      <c r="J93">
        <v>119058.481330968</v>
      </c>
      <c r="K93">
        <v>4.9812477930538202E-4</v>
      </c>
      <c r="L93">
        <v>44.8054585994037</v>
      </c>
      <c r="N93">
        <v>48</v>
      </c>
      <c r="O93" t="s">
        <v>205</v>
      </c>
      <c r="P93">
        <v>1</v>
      </c>
      <c r="Q93">
        <v>29265695073000</v>
      </c>
      <c r="R93">
        <v>21697159000</v>
      </c>
      <c r="S93">
        <v>2398063114.04</v>
      </c>
      <c r="T93">
        <v>353000898</v>
      </c>
      <c r="U93">
        <v>7.4138539836073796E-4</v>
      </c>
      <c r="V93" s="1">
        <v>8.1941095472302895E-5</v>
      </c>
      <c r="W93">
        <v>82905.440860946401</v>
      </c>
      <c r="X93">
        <v>2.5702889580608099E-2</v>
      </c>
      <c r="Y93">
        <v>18.712433909465201</v>
      </c>
      <c r="BC93">
        <v>129</v>
      </c>
      <c r="BD93" s="2" t="s">
        <v>168</v>
      </c>
      <c r="BE93">
        <v>2</v>
      </c>
      <c r="BF93">
        <v>995311620.63</v>
      </c>
      <c r="BG93">
        <v>2502821868</v>
      </c>
      <c r="BH93">
        <v>107283333.33</v>
      </c>
      <c r="BI93">
        <v>24818764</v>
      </c>
      <c r="BJ93">
        <v>2.5146113198354798</v>
      </c>
      <c r="BK93">
        <v>0.10778868758921201</v>
      </c>
      <c r="BL93">
        <v>40.103190498527603</v>
      </c>
      <c r="BM93">
        <v>1.46585879795046E-2</v>
      </c>
      <c r="BN93">
        <v>8.2595032998440807</v>
      </c>
    </row>
    <row r="94" spans="1:66" x14ac:dyDescent="0.4">
      <c r="A94">
        <v>1041</v>
      </c>
      <c r="B94" t="s">
        <v>134</v>
      </c>
      <c r="C94">
        <v>2</v>
      </c>
      <c r="D94">
        <v>647666000000</v>
      </c>
      <c r="E94">
        <v>1028964864</v>
      </c>
      <c r="F94">
        <v>64734129.130000003</v>
      </c>
      <c r="G94">
        <v>14620000</v>
      </c>
      <c r="H94">
        <v>1.5887276219532899E-3</v>
      </c>
      <c r="I94" s="1">
        <v>9.9949864791420198E-5</v>
      </c>
      <c r="J94">
        <v>44300</v>
      </c>
      <c r="K94">
        <v>5.6333234664253699E-4</v>
      </c>
      <c r="L94">
        <v>42.132541321529501</v>
      </c>
      <c r="N94">
        <v>522</v>
      </c>
      <c r="O94" t="s">
        <v>194</v>
      </c>
      <c r="P94">
        <v>1</v>
      </c>
      <c r="Q94">
        <v>3730574254800</v>
      </c>
      <c r="R94">
        <v>4189546066</v>
      </c>
      <c r="S94">
        <v>178647829.02000001</v>
      </c>
      <c r="T94">
        <v>36346848</v>
      </c>
      <c r="U94">
        <v>1.12302980180851E-3</v>
      </c>
      <c r="V94" s="1">
        <v>4.7887487774875399E-5</v>
      </c>
      <c r="W94">
        <v>102638.178001019</v>
      </c>
      <c r="X94">
        <v>3.2764141738033299E-3</v>
      </c>
      <c r="Y94">
        <v>17.470309623646799</v>
      </c>
      <c r="BC94">
        <v>258</v>
      </c>
      <c r="BD94" t="s">
        <v>103</v>
      </c>
      <c r="BE94">
        <v>2</v>
      </c>
      <c r="BF94">
        <v>1023222645.5</v>
      </c>
      <c r="BG94">
        <v>2148702627</v>
      </c>
      <c r="BH94">
        <v>195199271.68000001</v>
      </c>
      <c r="BI94">
        <v>40204191</v>
      </c>
      <c r="BJ94">
        <v>2.0999365450419898</v>
      </c>
      <c r="BK94">
        <v>0.19076910830547</v>
      </c>
      <c r="BL94">
        <v>25.450646314460101</v>
      </c>
      <c r="BM94">
        <v>1.50696514144879E-2</v>
      </c>
      <c r="BN94">
        <v>8.1460748590205405</v>
      </c>
    </row>
    <row r="95" spans="1:66" x14ac:dyDescent="0.4">
      <c r="A95">
        <v>1083</v>
      </c>
      <c r="B95" t="s">
        <v>222</v>
      </c>
      <c r="C95">
        <v>2</v>
      </c>
      <c r="D95">
        <v>682000000000</v>
      </c>
      <c r="E95">
        <v>641181248</v>
      </c>
      <c r="F95">
        <v>41057000</v>
      </c>
      <c r="G95">
        <v>10837320</v>
      </c>
      <c r="H95">
        <v>9.4014845747800505E-4</v>
      </c>
      <c r="I95" s="1">
        <v>6.0200879765395801E-5</v>
      </c>
      <c r="J95">
        <v>62930.687660786898</v>
      </c>
      <c r="K95">
        <v>5.9319566012452495E-4</v>
      </c>
      <c r="L95">
        <v>41.0583050902259</v>
      </c>
      <c r="N95">
        <v>659</v>
      </c>
      <c r="O95" t="s">
        <v>172</v>
      </c>
      <c r="P95">
        <v>1</v>
      </c>
      <c r="Q95">
        <v>3867208434000</v>
      </c>
      <c r="R95">
        <v>2473023894</v>
      </c>
      <c r="S95">
        <v>438489611.39999998</v>
      </c>
      <c r="T95">
        <v>36792090</v>
      </c>
      <c r="U95">
        <v>6.3948554524692505E-4</v>
      </c>
      <c r="V95" s="1">
        <v>1.13386598856388E-4</v>
      </c>
      <c r="W95">
        <v>105109.77859643201</v>
      </c>
      <c r="X95">
        <v>3.3964145090817099E-3</v>
      </c>
      <c r="Y95">
        <v>17.158908417008</v>
      </c>
      <c r="BC95">
        <v>948</v>
      </c>
      <c r="BD95" s="2" t="s">
        <v>201</v>
      </c>
      <c r="BE95">
        <v>2</v>
      </c>
      <c r="BF95">
        <v>1107229210.5</v>
      </c>
      <c r="BG95">
        <v>2501913098</v>
      </c>
      <c r="BH95">
        <v>250946875</v>
      </c>
      <c r="BI95">
        <v>56938146</v>
      </c>
      <c r="BJ95">
        <v>2.25961623327313</v>
      </c>
      <c r="BK95">
        <v>0.22664401609010801</v>
      </c>
      <c r="BL95">
        <v>19.446176039873102</v>
      </c>
      <c r="BM95">
        <v>1.6306869586550501E-2</v>
      </c>
      <c r="BN95">
        <v>7.8309545074569797</v>
      </c>
    </row>
    <row r="96" spans="1:66" x14ac:dyDescent="0.4">
      <c r="A96">
        <v>976</v>
      </c>
      <c r="B96" t="s">
        <v>140</v>
      </c>
      <c r="C96">
        <v>2</v>
      </c>
      <c r="D96">
        <v>696061273600</v>
      </c>
      <c r="E96">
        <v>675920851</v>
      </c>
      <c r="F96">
        <v>103050825.40000001</v>
      </c>
      <c r="G96">
        <v>14335386</v>
      </c>
      <c r="H96">
        <v>9.7106515853721505E-4</v>
      </c>
      <c r="I96">
        <v>1.4804849703392499E-4</v>
      </c>
      <c r="J96">
        <v>48555.460843537803</v>
      </c>
      <c r="K96">
        <v>6.0542599219980803E-4</v>
      </c>
      <c r="L96">
        <v>40.641475702380902</v>
      </c>
      <c r="N96">
        <v>324</v>
      </c>
      <c r="O96" s="2" t="s">
        <v>161</v>
      </c>
      <c r="P96">
        <v>1</v>
      </c>
      <c r="Q96">
        <v>4565269150000</v>
      </c>
      <c r="R96">
        <v>3408732262</v>
      </c>
      <c r="S96">
        <v>705045768.53999996</v>
      </c>
      <c r="T96">
        <v>116440114</v>
      </c>
      <c r="U96">
        <v>7.4666622054474002E-4</v>
      </c>
      <c r="V96" s="1">
        <v>1.5443684597215901E-4</v>
      </c>
      <c r="W96">
        <v>39207.013744421398</v>
      </c>
      <c r="X96">
        <v>4.0094933189016501E-3</v>
      </c>
      <c r="Y96">
        <v>15.7926588137652</v>
      </c>
      <c r="BC96">
        <v>1107</v>
      </c>
      <c r="BD96" s="2" t="s">
        <v>25</v>
      </c>
      <c r="BE96">
        <v>2</v>
      </c>
      <c r="BF96">
        <v>1418290340.04</v>
      </c>
      <c r="BG96">
        <v>3653914726</v>
      </c>
      <c r="BH96">
        <v>318009888.73000002</v>
      </c>
      <c r="BI96">
        <v>42334883</v>
      </c>
      <c r="BJ96">
        <v>2.5762811907024199</v>
      </c>
      <c r="BK96">
        <v>0.22422058428532399</v>
      </c>
      <c r="BL96">
        <v>33.501695045194701</v>
      </c>
      <c r="BM96">
        <v>2.0888064902526E-2</v>
      </c>
      <c r="BN96">
        <v>6.9191205279151404</v>
      </c>
    </row>
    <row r="97" spans="1:66" x14ac:dyDescent="0.4">
      <c r="A97">
        <v>970</v>
      </c>
      <c r="B97" t="s">
        <v>130</v>
      </c>
      <c r="C97">
        <v>2</v>
      </c>
      <c r="D97">
        <v>730261911600</v>
      </c>
      <c r="E97">
        <v>976565768</v>
      </c>
      <c r="F97">
        <v>86123485.189999998</v>
      </c>
      <c r="G97">
        <v>12802906</v>
      </c>
      <c r="H97">
        <v>1.3372815321291301E-3</v>
      </c>
      <c r="I97">
        <v>1.1793506387496399E-4</v>
      </c>
      <c r="J97">
        <v>57038.762262255099</v>
      </c>
      <c r="K97">
        <v>6.3517330896680196E-4</v>
      </c>
      <c r="L97">
        <v>39.6783752160189</v>
      </c>
      <c r="N97">
        <v>384</v>
      </c>
      <c r="O97" s="2" t="s">
        <v>193</v>
      </c>
      <c r="P97">
        <v>1</v>
      </c>
      <c r="Q97">
        <v>4828560000000</v>
      </c>
      <c r="R97">
        <v>4288426206.1399999</v>
      </c>
      <c r="S97">
        <v>491961820.27999997</v>
      </c>
      <c r="T97">
        <v>98112427</v>
      </c>
      <c r="U97">
        <v>8.8813770692297404E-4</v>
      </c>
      <c r="V97">
        <v>1.0188582523153901E-4</v>
      </c>
      <c r="W97">
        <v>49214.560760993103</v>
      </c>
      <c r="X97">
        <v>4.24073114285403E-3</v>
      </c>
      <c r="Y97">
        <v>15.356053983919001</v>
      </c>
      <c r="BC97">
        <v>1089</v>
      </c>
      <c r="BD97" t="s">
        <v>107</v>
      </c>
      <c r="BE97">
        <v>2</v>
      </c>
      <c r="BF97">
        <v>1593597062.5</v>
      </c>
      <c r="BG97">
        <v>1947141685</v>
      </c>
      <c r="BH97">
        <v>251102269.18000001</v>
      </c>
      <c r="BI97">
        <v>12559609</v>
      </c>
      <c r="BJ97">
        <v>1.2218532092079499</v>
      </c>
      <c r="BK97">
        <v>0.15756948546709501</v>
      </c>
      <c r="BL97">
        <v>126.882696945422</v>
      </c>
      <c r="BM97">
        <v>2.3469918626842001E-2</v>
      </c>
      <c r="BN97">
        <v>6.5274598333370504</v>
      </c>
    </row>
    <row r="98" spans="1:66" x14ac:dyDescent="0.4">
      <c r="A98">
        <v>275</v>
      </c>
      <c r="B98" t="s">
        <v>34</v>
      </c>
      <c r="C98">
        <v>1</v>
      </c>
      <c r="D98">
        <v>6779045878000</v>
      </c>
      <c r="E98">
        <v>15577184456</v>
      </c>
      <c r="F98">
        <v>959463157.59000003</v>
      </c>
      <c r="G98">
        <v>97771862</v>
      </c>
      <c r="H98">
        <v>2.2978431974553402E-3</v>
      </c>
      <c r="I98">
        <v>1.4153365751716401E-4</v>
      </c>
      <c r="J98">
        <v>69335.345971011498</v>
      </c>
      <c r="K98">
        <v>5.8963351827194298E-3</v>
      </c>
      <c r="L98">
        <v>39.068809081351198</v>
      </c>
      <c r="N98">
        <v>1028</v>
      </c>
      <c r="O98" s="2" t="s">
        <v>97</v>
      </c>
      <c r="P98">
        <v>1</v>
      </c>
      <c r="Q98">
        <v>5002732800000</v>
      </c>
      <c r="R98">
        <v>10221942955</v>
      </c>
      <c r="S98">
        <v>480697916.67000002</v>
      </c>
      <c r="T98">
        <v>135250245</v>
      </c>
      <c r="U98">
        <v>2.0432718203538601E-3</v>
      </c>
      <c r="V98" s="1">
        <v>9.6087065987214001E-5</v>
      </c>
      <c r="W98">
        <v>36988.7152514954</v>
      </c>
      <c r="X98">
        <v>4.39370014752584E-3</v>
      </c>
      <c r="Y98">
        <v>15.0863713150154</v>
      </c>
      <c r="BC98">
        <v>912</v>
      </c>
      <c r="BD98" s="2" t="s">
        <v>116</v>
      </c>
      <c r="BE98">
        <v>2</v>
      </c>
      <c r="BF98">
        <v>1606876894.7</v>
      </c>
      <c r="BG98">
        <v>3691744206</v>
      </c>
      <c r="BH98">
        <v>402777224.56</v>
      </c>
      <c r="BI98">
        <v>84018888</v>
      </c>
      <c r="BJ98">
        <v>2.2974654861094601</v>
      </c>
      <c r="BK98">
        <v>0.25065842062231902</v>
      </c>
      <c r="BL98">
        <v>19.125186406894599</v>
      </c>
      <c r="BM98">
        <v>2.36654991712885E-2</v>
      </c>
      <c r="BN98">
        <v>6.5004311879439598</v>
      </c>
    </row>
    <row r="99" spans="1:66" x14ac:dyDescent="0.4">
      <c r="A99">
        <v>245</v>
      </c>
      <c r="B99" t="s">
        <v>53</v>
      </c>
      <c r="C99">
        <v>2</v>
      </c>
      <c r="D99">
        <v>804800700000</v>
      </c>
      <c r="E99">
        <v>1739637871</v>
      </c>
      <c r="F99">
        <v>111250000</v>
      </c>
      <c r="G99">
        <v>20335117</v>
      </c>
      <c r="H99">
        <v>2.1615759914224699E-3</v>
      </c>
      <c r="I99">
        <v>1.38232981159186E-4</v>
      </c>
      <c r="J99">
        <v>39576.890558337996</v>
      </c>
      <c r="K99">
        <v>7.0000627933310795E-4</v>
      </c>
      <c r="L99">
        <v>37.796277776003997</v>
      </c>
      <c r="N99">
        <v>1051</v>
      </c>
      <c r="O99" t="s">
        <v>163</v>
      </c>
      <c r="P99">
        <v>1</v>
      </c>
      <c r="Q99">
        <v>5016706914000</v>
      </c>
      <c r="R99">
        <v>3263226247</v>
      </c>
      <c r="S99">
        <v>475847357.56</v>
      </c>
      <c r="T99">
        <v>32002270</v>
      </c>
      <c r="U99">
        <v>6.50471774201796E-4</v>
      </c>
      <c r="V99" s="1">
        <v>9.4852532890064695E-5</v>
      </c>
      <c r="W99">
        <v>156760.97083113101</v>
      </c>
      <c r="X99">
        <v>4.4059730529952901E-3</v>
      </c>
      <c r="Y99">
        <v>15.0653450032628</v>
      </c>
      <c r="BC99">
        <v>652</v>
      </c>
      <c r="BD99" s="2" t="s">
        <v>162</v>
      </c>
      <c r="BE99">
        <v>2</v>
      </c>
      <c r="BF99">
        <v>2285045667.5999999</v>
      </c>
      <c r="BG99">
        <v>2243538876</v>
      </c>
      <c r="BH99">
        <v>210747028.69999999</v>
      </c>
      <c r="BI99">
        <v>15939000</v>
      </c>
      <c r="BJ99">
        <v>0.98183546517755305</v>
      </c>
      <c r="BK99">
        <v>9.2228803865153794E-2</v>
      </c>
      <c r="BL99">
        <v>143.361921550912</v>
      </c>
      <c r="BM99">
        <v>3.3653322498635001E-2</v>
      </c>
      <c r="BN99">
        <v>-5.4511235609708004</v>
      </c>
    </row>
    <row r="100" spans="1:66" x14ac:dyDescent="0.4">
      <c r="A100">
        <v>273</v>
      </c>
      <c r="B100" t="s">
        <v>170</v>
      </c>
      <c r="C100">
        <v>2</v>
      </c>
      <c r="D100">
        <v>811410000000</v>
      </c>
      <c r="E100">
        <v>1095866163</v>
      </c>
      <c r="F100">
        <v>58958333.329999998</v>
      </c>
      <c r="G100">
        <v>12735000</v>
      </c>
      <c r="H100">
        <v>1.35057019632491E-3</v>
      </c>
      <c r="I100" s="1">
        <v>7.2661580865407099E-5</v>
      </c>
      <c r="J100">
        <v>63714.958775029401</v>
      </c>
      <c r="K100">
        <v>7.0575497152733195E-4</v>
      </c>
      <c r="L100">
        <v>37.6420291725778</v>
      </c>
      <c r="N100">
        <v>1008</v>
      </c>
      <c r="O100" s="2" t="s">
        <v>99</v>
      </c>
      <c r="P100">
        <v>1</v>
      </c>
      <c r="Q100">
        <v>5031478324400</v>
      </c>
      <c r="R100">
        <v>6530126000</v>
      </c>
      <c r="S100">
        <v>823546623.80999994</v>
      </c>
      <c r="T100">
        <v>139343243</v>
      </c>
      <c r="U100">
        <v>1.2978543439872E-3</v>
      </c>
      <c r="V100" s="1">
        <v>1.6367885752706799E-4</v>
      </c>
      <c r="W100">
        <v>36108.520342102202</v>
      </c>
      <c r="X100">
        <v>4.4189461920071602E-3</v>
      </c>
      <c r="Y100">
        <v>15.043214334079501</v>
      </c>
      <c r="BC100">
        <v>623</v>
      </c>
      <c r="BD100" s="2" t="s">
        <v>187</v>
      </c>
      <c r="BE100">
        <v>2</v>
      </c>
      <c r="BF100">
        <v>1425920646.3</v>
      </c>
      <c r="BG100">
        <v>1607455021</v>
      </c>
      <c r="BH100">
        <v>202904612.38</v>
      </c>
      <c r="BI100">
        <v>19900131</v>
      </c>
      <c r="BJ100">
        <v>1.1273102925966001</v>
      </c>
      <c r="BK100">
        <v>0.14229726801873499</v>
      </c>
      <c r="BL100">
        <v>71.653832143114997</v>
      </c>
      <c r="BM100">
        <v>2.1000441281244502E-2</v>
      </c>
      <c r="BN100">
        <v>-6.9005830914735897</v>
      </c>
    </row>
    <row r="101" spans="1:66" x14ac:dyDescent="0.4">
      <c r="A101">
        <v>1116</v>
      </c>
      <c r="B101" t="s">
        <v>139</v>
      </c>
      <c r="C101">
        <v>1</v>
      </c>
      <c r="D101">
        <v>7358179098600</v>
      </c>
      <c r="E101">
        <v>5483825614</v>
      </c>
      <c r="F101">
        <v>830817650</v>
      </c>
      <c r="G101">
        <v>49541072</v>
      </c>
      <c r="H101">
        <v>7.4526938533520798E-4</v>
      </c>
      <c r="I101">
        <v>1.12910767578092E-4</v>
      </c>
      <c r="J101">
        <v>148526.84452609299</v>
      </c>
      <c r="K101">
        <v>6.4000585157016204E-3</v>
      </c>
      <c r="L101">
        <v>37.499828568455897</v>
      </c>
      <c r="N101">
        <v>901</v>
      </c>
      <c r="O101" t="s">
        <v>203</v>
      </c>
      <c r="P101">
        <v>1</v>
      </c>
      <c r="Q101">
        <v>5130183491750</v>
      </c>
      <c r="R101">
        <v>4579168000</v>
      </c>
      <c r="S101">
        <v>456186761.50999999</v>
      </c>
      <c r="T101">
        <v>109152840</v>
      </c>
      <c r="U101">
        <v>8.9259341451702304E-4</v>
      </c>
      <c r="V101" s="1">
        <v>8.8922114042042994E-5</v>
      </c>
      <c r="W101">
        <v>47000.000107647204</v>
      </c>
      <c r="X101">
        <v>4.5056349930455196E-3</v>
      </c>
      <c r="Y101">
        <v>14.897795104710699</v>
      </c>
      <c r="BC101">
        <v>1137</v>
      </c>
      <c r="BD101" t="s">
        <v>248</v>
      </c>
      <c r="BE101">
        <v>2</v>
      </c>
      <c r="BF101">
        <v>893113200</v>
      </c>
      <c r="BG101">
        <v>623424303</v>
      </c>
      <c r="BH101">
        <v>101663311.34</v>
      </c>
      <c r="BI101">
        <v>18000000</v>
      </c>
      <c r="BJ101">
        <v>0.69803503408078604</v>
      </c>
      <c r="BK101">
        <v>0.113830264002368</v>
      </c>
      <c r="BL101">
        <v>49.617400000000004</v>
      </c>
      <c r="BM101">
        <v>1.3153446766320499E-2</v>
      </c>
      <c r="BN101">
        <v>-8.7192717680758598</v>
      </c>
    </row>
    <row r="102" spans="1:66" x14ac:dyDescent="0.4">
      <c r="A102">
        <v>1031</v>
      </c>
      <c r="B102" t="s">
        <v>246</v>
      </c>
      <c r="C102">
        <v>2</v>
      </c>
      <c r="D102">
        <v>841290559200</v>
      </c>
      <c r="E102">
        <v>238169048</v>
      </c>
      <c r="F102">
        <v>72214472.079999998</v>
      </c>
      <c r="G102">
        <v>10362703</v>
      </c>
      <c r="H102">
        <v>2.8309963233924703E-4</v>
      </c>
      <c r="I102" s="1">
        <v>8.5837730247050598E-5</v>
      </c>
      <c r="J102">
        <v>81184.470808436701</v>
      </c>
      <c r="K102">
        <v>7.3174473404864304E-4</v>
      </c>
      <c r="L102">
        <v>36.967509838301801</v>
      </c>
      <c r="N102">
        <v>73</v>
      </c>
      <c r="O102" t="s">
        <v>101</v>
      </c>
      <c r="P102">
        <v>1</v>
      </c>
      <c r="Q102">
        <v>5608537601800</v>
      </c>
      <c r="R102">
        <v>3679353019</v>
      </c>
      <c r="S102">
        <v>835693055.55999994</v>
      </c>
      <c r="T102">
        <v>35318944</v>
      </c>
      <c r="U102">
        <v>6.5602716433944396E-4</v>
      </c>
      <c r="V102" s="1">
        <v>1.4900373589218501E-4</v>
      </c>
      <c r="W102">
        <v>158796.86555181199</v>
      </c>
      <c r="X102">
        <v>4.9257542774286999E-3</v>
      </c>
      <c r="Y102">
        <v>14.2483189545437</v>
      </c>
      <c r="BC102">
        <v>46</v>
      </c>
      <c r="BD102" t="s">
        <v>110</v>
      </c>
      <c r="BE102">
        <v>2</v>
      </c>
      <c r="BF102">
        <v>762264848</v>
      </c>
      <c r="BG102">
        <v>661803710</v>
      </c>
      <c r="BH102">
        <v>103075000</v>
      </c>
      <c r="BI102">
        <v>4666791</v>
      </c>
      <c r="BJ102">
        <v>0.868207043439578</v>
      </c>
      <c r="BK102">
        <v>0.13522202981082501</v>
      </c>
      <c r="BL102">
        <v>163.33811563449001</v>
      </c>
      <c r="BM102">
        <v>1.1226359771645201E-2</v>
      </c>
      <c r="BN102">
        <v>-9.4380119310375097</v>
      </c>
    </row>
    <row r="103" spans="1:66" x14ac:dyDescent="0.4">
      <c r="A103">
        <v>951</v>
      </c>
      <c r="B103" t="s">
        <v>214</v>
      </c>
      <c r="C103">
        <v>2</v>
      </c>
      <c r="D103">
        <v>870232462000</v>
      </c>
      <c r="E103">
        <v>540947414</v>
      </c>
      <c r="F103">
        <v>68312500</v>
      </c>
      <c r="G103">
        <v>9647810</v>
      </c>
      <c r="H103">
        <v>6.2161254333902298E-4</v>
      </c>
      <c r="I103" s="1">
        <v>7.8499140152737704E-5</v>
      </c>
      <c r="J103">
        <v>90200</v>
      </c>
      <c r="K103">
        <v>7.5691806416111498E-4</v>
      </c>
      <c r="L103">
        <v>36.347585349589998</v>
      </c>
      <c r="N103">
        <v>419</v>
      </c>
      <c r="O103" t="s">
        <v>158</v>
      </c>
      <c r="P103">
        <v>1</v>
      </c>
      <c r="Q103">
        <v>6680833573600</v>
      </c>
      <c r="R103">
        <v>10949600986</v>
      </c>
      <c r="S103">
        <v>308329940.22000003</v>
      </c>
      <c r="T103">
        <v>68728639</v>
      </c>
      <c r="U103">
        <v>1.6389573045597801E-3</v>
      </c>
      <c r="V103" s="1">
        <v>4.61514176072874E-5</v>
      </c>
      <c r="W103">
        <v>97205.963493617193</v>
      </c>
      <c r="X103">
        <v>5.8675089458949097E-3</v>
      </c>
      <c r="Y103">
        <v>13.054887083133901</v>
      </c>
      <c r="BC103">
        <v>1075</v>
      </c>
      <c r="BD103" t="s">
        <v>182</v>
      </c>
      <c r="BE103">
        <v>2</v>
      </c>
      <c r="BF103">
        <v>731398185</v>
      </c>
      <c r="BG103">
        <v>907331000</v>
      </c>
      <c r="BH103">
        <v>108891209.44</v>
      </c>
      <c r="BI103">
        <v>16109633</v>
      </c>
      <c r="BJ103">
        <v>1.2405431386187999</v>
      </c>
      <c r="BK103">
        <v>0.14888088550561501</v>
      </c>
      <c r="BL103">
        <v>45.4012940580334</v>
      </c>
      <c r="BM103">
        <v>1.07717667719847E-2</v>
      </c>
      <c r="BN103">
        <v>-9.6351067171484495</v>
      </c>
    </row>
    <row r="104" spans="1:66" x14ac:dyDescent="0.4">
      <c r="A104">
        <v>977</v>
      </c>
      <c r="B104" t="s">
        <v>73</v>
      </c>
      <c r="C104">
        <v>1</v>
      </c>
      <c r="D104">
        <v>8265802191800</v>
      </c>
      <c r="E104">
        <v>11809888000</v>
      </c>
      <c r="F104">
        <v>999463860.75</v>
      </c>
      <c r="G104">
        <v>65153857</v>
      </c>
      <c r="H104">
        <v>1.4287648949204001E-3</v>
      </c>
      <c r="I104">
        <v>1.209155309501E-4</v>
      </c>
      <c r="J104">
        <v>126865.89209599599</v>
      </c>
      <c r="K104">
        <v>7.1894985155770497E-3</v>
      </c>
      <c r="L104">
        <v>35.3811508777627</v>
      </c>
      <c r="N104">
        <v>914</v>
      </c>
      <c r="O104" s="2" t="s">
        <v>179</v>
      </c>
      <c r="P104">
        <v>1</v>
      </c>
      <c r="Q104">
        <v>10054621170000</v>
      </c>
      <c r="R104">
        <v>11869029000</v>
      </c>
      <c r="S104">
        <v>884484982.82000005</v>
      </c>
      <c r="T104">
        <v>178907850</v>
      </c>
      <c r="U104">
        <v>1.18045511604292E-3</v>
      </c>
      <c r="V104" s="1">
        <v>8.7968006736945998E-5</v>
      </c>
      <c r="W104">
        <v>56200</v>
      </c>
      <c r="X104">
        <v>8.8305716663391303E-3</v>
      </c>
      <c r="Y104">
        <v>10.6415671600257</v>
      </c>
      <c r="BC104">
        <v>125</v>
      </c>
      <c r="BD104" t="s">
        <v>200</v>
      </c>
      <c r="BE104">
        <v>2</v>
      </c>
      <c r="BF104">
        <v>601007718.5</v>
      </c>
      <c r="BG104">
        <v>826890933</v>
      </c>
      <c r="BH104">
        <v>88342601</v>
      </c>
      <c r="BI104">
        <v>13764630</v>
      </c>
      <c r="BJ104">
        <v>1.37584078797483</v>
      </c>
      <c r="BK104">
        <v>0.146990792764668</v>
      </c>
      <c r="BL104">
        <v>43.663194615474502</v>
      </c>
      <c r="BM104">
        <v>8.8514233486163794E-3</v>
      </c>
      <c r="BN104">
        <v>-10.6290253684723</v>
      </c>
    </row>
    <row r="105" spans="1:66" x14ac:dyDescent="0.4">
      <c r="A105">
        <v>791</v>
      </c>
      <c r="B105" t="s">
        <v>85</v>
      </c>
      <c r="C105">
        <v>2</v>
      </c>
      <c r="D105">
        <v>919232248500</v>
      </c>
      <c r="E105">
        <v>1292505280</v>
      </c>
      <c r="F105">
        <v>138750000</v>
      </c>
      <c r="G105">
        <v>17018902</v>
      </c>
      <c r="H105">
        <v>1.40607042682532E-3</v>
      </c>
      <c r="I105">
        <v>1.5094117969252199E-4</v>
      </c>
      <c r="J105">
        <v>54012.4297384167</v>
      </c>
      <c r="K105">
        <v>7.9953750800103903E-4</v>
      </c>
      <c r="L105">
        <v>35.365563218493001</v>
      </c>
      <c r="N105">
        <v>246</v>
      </c>
      <c r="O105" s="2" t="s">
        <v>157</v>
      </c>
      <c r="P105">
        <v>1</v>
      </c>
      <c r="Q105">
        <v>11300845334250</v>
      </c>
      <c r="R105">
        <v>13387594000</v>
      </c>
      <c r="S105">
        <v>1295227569.1400001</v>
      </c>
      <c r="T105">
        <v>224202345</v>
      </c>
      <c r="U105">
        <v>1.18465420984265E-3</v>
      </c>
      <c r="V105" s="1">
        <v>1.14613334740056E-4</v>
      </c>
      <c r="W105">
        <v>50404.670541024003</v>
      </c>
      <c r="X105">
        <v>9.9250805104483895E-3</v>
      </c>
      <c r="Y105">
        <v>10.0376715524389</v>
      </c>
      <c r="BC105">
        <v>835</v>
      </c>
      <c r="BD105" t="s">
        <v>183</v>
      </c>
      <c r="BE105">
        <v>2</v>
      </c>
      <c r="BF105">
        <v>545306840</v>
      </c>
      <c r="BG105">
        <v>586248172</v>
      </c>
      <c r="BH105">
        <v>73900000</v>
      </c>
      <c r="BI105">
        <v>6769750</v>
      </c>
      <c r="BJ105">
        <v>1.0750794396784</v>
      </c>
      <c r="BK105">
        <v>0.13552003125432999</v>
      </c>
      <c r="BL105">
        <v>80.550513682189106</v>
      </c>
      <c r="BM105">
        <v>8.0310810446541994E-3</v>
      </c>
      <c r="BN105">
        <v>-11.1586844276202</v>
      </c>
    </row>
    <row r="106" spans="1:66" x14ac:dyDescent="0.4">
      <c r="A106">
        <v>889</v>
      </c>
      <c r="B106" t="s">
        <v>141</v>
      </c>
      <c r="C106">
        <v>1</v>
      </c>
      <c r="D106">
        <v>8329466675200</v>
      </c>
      <c r="E106">
        <v>11122258000</v>
      </c>
      <c r="F106">
        <v>850828869.42999995</v>
      </c>
      <c r="G106">
        <v>122424900</v>
      </c>
      <c r="H106">
        <v>1.3352905334401699E-3</v>
      </c>
      <c r="I106">
        <v>1.02146860370213E-4</v>
      </c>
      <c r="J106">
        <v>68037.357393798098</v>
      </c>
      <c r="K106">
        <v>7.2448731420535102E-3</v>
      </c>
      <c r="L106">
        <v>35.245677414895198</v>
      </c>
      <c r="N106">
        <v>57</v>
      </c>
      <c r="O106" t="s">
        <v>216</v>
      </c>
      <c r="P106">
        <v>1</v>
      </c>
      <c r="Q106">
        <v>13825402941500</v>
      </c>
      <c r="R106">
        <v>11425577365.049999</v>
      </c>
      <c r="S106">
        <v>985971579.64999998</v>
      </c>
      <c r="T106">
        <v>207624727</v>
      </c>
      <c r="U106">
        <v>8.2641912235003299E-4</v>
      </c>
      <c r="V106" s="1">
        <v>7.1315938046940204E-5</v>
      </c>
      <c r="W106">
        <v>66588.422011507297</v>
      </c>
      <c r="X106">
        <v>1.21422984940696E-2</v>
      </c>
      <c r="Y106">
        <v>9.0750608874391894</v>
      </c>
      <c r="BC106">
        <v>960</v>
      </c>
      <c r="BD106" t="s">
        <v>213</v>
      </c>
      <c r="BE106">
        <v>2</v>
      </c>
      <c r="BF106">
        <v>378485648</v>
      </c>
      <c r="BG106">
        <v>513466909</v>
      </c>
      <c r="BH106">
        <v>76485501.409999996</v>
      </c>
      <c r="BI106">
        <v>16647174</v>
      </c>
      <c r="BJ106">
        <v>1.35663508435067</v>
      </c>
      <c r="BK106">
        <v>0.20208296355268901</v>
      </c>
      <c r="BL106">
        <v>22.7357296800045</v>
      </c>
      <c r="BM106">
        <v>5.57419913039503E-3</v>
      </c>
      <c r="BN106">
        <v>-13.393952683904899</v>
      </c>
    </row>
    <row r="107" spans="1:66" x14ac:dyDescent="0.4">
      <c r="A107">
        <v>163</v>
      </c>
      <c r="B107" t="s">
        <v>164</v>
      </c>
      <c r="C107">
        <v>2</v>
      </c>
      <c r="D107">
        <v>940802532000</v>
      </c>
      <c r="E107">
        <v>915889246</v>
      </c>
      <c r="F107">
        <v>68080000</v>
      </c>
      <c r="G107">
        <v>6545660</v>
      </c>
      <c r="H107">
        <v>9.7351911251021095E-4</v>
      </c>
      <c r="I107" s="1">
        <v>7.2363750823748794E-5</v>
      </c>
      <c r="J107">
        <v>143729.208666505</v>
      </c>
      <c r="K107">
        <v>8.1829908946710298E-4</v>
      </c>
      <c r="L107">
        <v>34.957789751309697</v>
      </c>
      <c r="N107">
        <v>1070</v>
      </c>
      <c r="O107" s="2" t="s">
        <v>61</v>
      </c>
      <c r="P107">
        <v>1</v>
      </c>
      <c r="Q107">
        <v>14623411580050</v>
      </c>
      <c r="R107">
        <v>29342327000</v>
      </c>
      <c r="S107">
        <v>2013229721.22</v>
      </c>
      <c r="T107">
        <v>378624659</v>
      </c>
      <c r="U107">
        <v>2.0065308864061701E-3</v>
      </c>
      <c r="V107" s="1">
        <v>1.3767168558440499E-4</v>
      </c>
      <c r="W107">
        <v>38622.4489938728</v>
      </c>
      <c r="X107">
        <v>1.2843157567119399E-2</v>
      </c>
      <c r="Y107">
        <v>8.82397145708903</v>
      </c>
      <c r="BC107">
        <v>986</v>
      </c>
      <c r="BD107" t="s">
        <v>245</v>
      </c>
      <c r="BE107">
        <v>2</v>
      </c>
      <c r="BF107">
        <v>364931914.69999999</v>
      </c>
      <c r="BG107">
        <v>477399260</v>
      </c>
      <c r="BH107">
        <v>35700577.25</v>
      </c>
      <c r="BI107">
        <v>7224609</v>
      </c>
      <c r="BJ107">
        <v>1.3081872008713</v>
      </c>
      <c r="BK107">
        <v>9.7828049046760998E-2</v>
      </c>
      <c r="BL107">
        <v>50.512341179986301</v>
      </c>
      <c r="BM107">
        <v>5.37458467004839E-3</v>
      </c>
      <c r="BN107">
        <v>-13.6404138016744</v>
      </c>
    </row>
    <row r="108" spans="1:66" x14ac:dyDescent="0.4">
      <c r="A108">
        <v>703</v>
      </c>
      <c r="B108" t="s">
        <v>238</v>
      </c>
      <c r="C108">
        <v>2</v>
      </c>
      <c r="D108">
        <v>986070523500</v>
      </c>
      <c r="E108">
        <v>259007915</v>
      </c>
      <c r="F108">
        <v>78837500</v>
      </c>
      <c r="G108">
        <v>8870652</v>
      </c>
      <c r="H108">
        <v>2.6266672497284098E-4</v>
      </c>
      <c r="I108" s="1">
        <v>7.9951178055876596E-5</v>
      </c>
      <c r="J108">
        <v>111160.997353971</v>
      </c>
      <c r="K108">
        <v>8.5767266146175697E-4</v>
      </c>
      <c r="L108">
        <v>34.145951291121399</v>
      </c>
      <c r="N108">
        <v>1049</v>
      </c>
      <c r="O108" s="2" t="s">
        <v>152</v>
      </c>
      <c r="P108">
        <v>1</v>
      </c>
      <c r="Q108">
        <v>15049791574400</v>
      </c>
      <c r="R108">
        <v>16564065033</v>
      </c>
      <c r="S108">
        <v>2056659396.45</v>
      </c>
      <c r="T108">
        <v>441333115</v>
      </c>
      <c r="U108">
        <v>1.1006175700915199E-3</v>
      </c>
      <c r="V108">
        <v>1.3665700194469201E-4</v>
      </c>
      <c r="W108">
        <v>34100.753065855897</v>
      </c>
      <c r="X108">
        <v>1.3217630064246901E-2</v>
      </c>
      <c r="Y108">
        <v>8.6980761132519007</v>
      </c>
      <c r="BC108">
        <v>1031</v>
      </c>
      <c r="BD108" t="s">
        <v>246</v>
      </c>
      <c r="BE108">
        <v>2</v>
      </c>
      <c r="BF108">
        <v>305711496</v>
      </c>
      <c r="BG108">
        <v>238169048</v>
      </c>
      <c r="BH108">
        <v>72214472.079999998</v>
      </c>
      <c r="BI108">
        <v>10362703</v>
      </c>
      <c r="BJ108">
        <v>0.77906474279266202</v>
      </c>
      <c r="BK108">
        <v>0.236217718420376</v>
      </c>
      <c r="BL108">
        <v>29.501134597797499</v>
      </c>
      <c r="BM108">
        <v>4.5024078565720502E-3</v>
      </c>
      <c r="BN108">
        <v>-14.903133204638801</v>
      </c>
    </row>
    <row r="109" spans="1:66" x14ac:dyDescent="0.4">
      <c r="A109">
        <v>624</v>
      </c>
      <c r="B109" t="s">
        <v>129</v>
      </c>
      <c r="C109">
        <v>2</v>
      </c>
      <c r="D109">
        <v>1062227906500</v>
      </c>
      <c r="E109">
        <v>1520680176</v>
      </c>
      <c r="F109">
        <v>128160194.95999999</v>
      </c>
      <c r="G109">
        <v>27381206</v>
      </c>
      <c r="H109">
        <v>1.43159501524544E-3</v>
      </c>
      <c r="I109">
        <v>1.20652257557686E-4</v>
      </c>
      <c r="J109">
        <v>38794.051164145203</v>
      </c>
      <c r="K109">
        <v>9.2391346656738895E-4</v>
      </c>
      <c r="L109">
        <v>32.899125300422597</v>
      </c>
      <c r="N109">
        <v>23</v>
      </c>
      <c r="O109" s="2" t="s">
        <v>59</v>
      </c>
      <c r="P109">
        <v>1</v>
      </c>
      <c r="Q109">
        <v>17086065076050</v>
      </c>
      <c r="R109">
        <v>25266207000</v>
      </c>
      <c r="S109">
        <v>3178486034.73</v>
      </c>
      <c r="T109">
        <v>441025000</v>
      </c>
      <c r="U109">
        <v>1.47876101885016E-3</v>
      </c>
      <c r="V109">
        <v>1.86027971951562E-4</v>
      </c>
      <c r="W109">
        <v>38741.715494699798</v>
      </c>
      <c r="X109">
        <v>1.50060076455166E-2</v>
      </c>
      <c r="Y109">
        <v>8.1633312262527102</v>
      </c>
      <c r="BC109">
        <v>347</v>
      </c>
      <c r="BD109" t="s">
        <v>243</v>
      </c>
      <c r="BE109">
        <v>2</v>
      </c>
      <c r="BF109">
        <v>303899463</v>
      </c>
      <c r="BG109">
        <v>510512092</v>
      </c>
      <c r="BH109">
        <v>31737500</v>
      </c>
      <c r="BI109">
        <v>11052251</v>
      </c>
      <c r="BJ109">
        <v>1.6798716488682901</v>
      </c>
      <c r="BK109">
        <v>0.104434208888352</v>
      </c>
      <c r="BL109">
        <v>27.496612500023701</v>
      </c>
      <c r="BM109">
        <v>4.4757208928094304E-3</v>
      </c>
      <c r="BN109">
        <v>-14.947497932150799</v>
      </c>
    </row>
    <row r="110" spans="1:66" x14ac:dyDescent="0.4">
      <c r="A110">
        <v>1071</v>
      </c>
      <c r="B110" t="s">
        <v>206</v>
      </c>
      <c r="C110">
        <v>1</v>
      </c>
      <c r="D110">
        <v>1072000000000</v>
      </c>
      <c r="E110">
        <v>445224238</v>
      </c>
      <c r="F110">
        <v>102808156.59</v>
      </c>
      <c r="G110">
        <v>10000000</v>
      </c>
      <c r="H110">
        <v>4.1532111753731302E-4</v>
      </c>
      <c r="I110" s="1">
        <v>9.5903131147388E-5</v>
      </c>
      <c r="J110">
        <v>107200</v>
      </c>
      <c r="K110">
        <v>9.3241311972652599E-4</v>
      </c>
      <c r="L110">
        <v>32.748831759862703</v>
      </c>
      <c r="N110">
        <v>957</v>
      </c>
      <c r="O110" s="2" t="s">
        <v>208</v>
      </c>
      <c r="P110">
        <v>1</v>
      </c>
      <c r="Q110">
        <v>17259428154500</v>
      </c>
      <c r="R110">
        <v>13382959000</v>
      </c>
      <c r="S110">
        <v>1541620454.2</v>
      </c>
      <c r="T110">
        <v>296600873</v>
      </c>
      <c r="U110">
        <v>7.7539990781853895E-4</v>
      </c>
      <c r="V110" s="1">
        <v>8.9320482718198101E-5</v>
      </c>
      <c r="W110">
        <v>58190.753047783503</v>
      </c>
      <c r="X110">
        <v>1.5158265504133701E-2</v>
      </c>
      <c r="Y110">
        <v>8.1222292850278901</v>
      </c>
      <c r="BC110">
        <v>1136</v>
      </c>
      <c r="BD110" t="s">
        <v>91</v>
      </c>
      <c r="BE110">
        <v>2</v>
      </c>
      <c r="BF110">
        <v>301981930.19999999</v>
      </c>
      <c r="BG110">
        <v>357730092</v>
      </c>
      <c r="BH110">
        <v>82791666.670000002</v>
      </c>
      <c r="BI110">
        <v>8265167</v>
      </c>
      <c r="BJ110">
        <v>1.1846076080217001</v>
      </c>
      <c r="BK110">
        <v>0.27416099570980201</v>
      </c>
      <c r="BL110">
        <v>36.536700371571399</v>
      </c>
      <c r="BM110">
        <v>4.4474801663175597E-3</v>
      </c>
      <c r="BN110">
        <v>-14.994879842134401</v>
      </c>
    </row>
    <row r="111" spans="1:66" x14ac:dyDescent="0.4">
      <c r="A111">
        <v>600</v>
      </c>
      <c r="B111" t="s">
        <v>102</v>
      </c>
      <c r="C111">
        <v>1</v>
      </c>
      <c r="D111">
        <v>10214074862000</v>
      </c>
      <c r="E111">
        <v>8207779513</v>
      </c>
      <c r="F111">
        <v>1601147239.73</v>
      </c>
      <c r="G111">
        <v>84230078</v>
      </c>
      <c r="H111">
        <v>8.0357542155245598E-4</v>
      </c>
      <c r="I111">
        <v>1.5675890977525901E-4</v>
      </c>
      <c r="J111">
        <v>121263.98436909899</v>
      </c>
      <c r="K111">
        <v>8.8840834022366599E-3</v>
      </c>
      <c r="L111">
        <v>31.828409810174101</v>
      </c>
      <c r="N111">
        <v>962</v>
      </c>
      <c r="O111" s="2" t="s">
        <v>105</v>
      </c>
      <c r="P111">
        <v>1</v>
      </c>
      <c r="Q111">
        <v>19039113418050</v>
      </c>
      <c r="R111">
        <v>30467514000</v>
      </c>
      <c r="S111">
        <v>2518817736.4099998</v>
      </c>
      <c r="T111">
        <v>569039504</v>
      </c>
      <c r="U111">
        <v>1.6002590735719501E-3</v>
      </c>
      <c r="V111" s="1">
        <v>1.32297007801951E-4</v>
      </c>
      <c r="W111">
        <v>33458.333356852498</v>
      </c>
      <c r="X111">
        <v>1.6721291897430001E-2</v>
      </c>
      <c r="Y111">
        <v>7.7333040538653997</v>
      </c>
      <c r="BC111">
        <v>530</v>
      </c>
      <c r="BD111" t="s">
        <v>177</v>
      </c>
      <c r="BE111">
        <v>2</v>
      </c>
      <c r="BF111">
        <v>282310503.51999998</v>
      </c>
      <c r="BG111">
        <v>364132045</v>
      </c>
      <c r="BH111">
        <v>36100000</v>
      </c>
      <c r="BI111">
        <v>3246449</v>
      </c>
      <c r="BJ111">
        <v>1.2898281872612001</v>
      </c>
      <c r="BK111">
        <v>0.12787338604085099</v>
      </c>
      <c r="BL111">
        <v>86.959783911590705</v>
      </c>
      <c r="BM111">
        <v>4.1577665402587902E-3</v>
      </c>
      <c r="BN111">
        <v>-15.508505558410899</v>
      </c>
    </row>
    <row r="112" spans="1:66" x14ac:dyDescent="0.4">
      <c r="A112">
        <v>567</v>
      </c>
      <c r="B112" t="s">
        <v>210</v>
      </c>
      <c r="C112">
        <v>2</v>
      </c>
      <c r="D112">
        <v>1260000000000</v>
      </c>
      <c r="E112">
        <v>1019077319</v>
      </c>
      <c r="F112">
        <v>116521428.56999999</v>
      </c>
      <c r="G112">
        <v>29325028</v>
      </c>
      <c r="H112">
        <v>8.0879152301587302E-4</v>
      </c>
      <c r="I112" s="1">
        <v>9.2477324261904697E-5</v>
      </c>
      <c r="J112">
        <v>42966.710892825002</v>
      </c>
      <c r="K112">
        <v>1.09593333102185E-3</v>
      </c>
      <c r="L112">
        <v>30.2070234174261</v>
      </c>
      <c r="N112">
        <v>364</v>
      </c>
      <c r="O112" s="2" t="s">
        <v>100</v>
      </c>
      <c r="P112">
        <v>1</v>
      </c>
      <c r="Q112">
        <v>19791411545000</v>
      </c>
      <c r="R112">
        <v>41500566100</v>
      </c>
      <c r="S112">
        <v>1785501474.24</v>
      </c>
      <c r="T112">
        <v>599968175</v>
      </c>
      <c r="U112">
        <v>2.0968977379728299E-3</v>
      </c>
      <c r="V112" s="1">
        <v>9.0215974246216906E-5</v>
      </c>
      <c r="W112">
        <v>32987.435616897499</v>
      </c>
      <c r="X112">
        <v>1.7382005256209299E-2</v>
      </c>
      <c r="Y112">
        <v>7.5849035306851702</v>
      </c>
      <c r="BC112">
        <v>1090</v>
      </c>
      <c r="BD112" t="s">
        <v>211</v>
      </c>
      <c r="BE112">
        <v>2</v>
      </c>
      <c r="BF112">
        <v>267334291.25</v>
      </c>
      <c r="BG112">
        <v>377369101</v>
      </c>
      <c r="BH112">
        <v>46620995.75</v>
      </c>
      <c r="BI112">
        <v>17598063</v>
      </c>
      <c r="BJ112">
        <v>1.41160005787323</v>
      </c>
      <c r="BK112">
        <v>0.174392127295042</v>
      </c>
      <c r="BL112">
        <v>15.1911202528369</v>
      </c>
      <c r="BM112">
        <v>3.9372023263891899E-3</v>
      </c>
      <c r="BN112">
        <v>-15.9369838843573</v>
      </c>
    </row>
    <row r="113" spans="1:66" x14ac:dyDescent="0.4">
      <c r="A113">
        <v>258</v>
      </c>
      <c r="B113" t="s">
        <v>103</v>
      </c>
      <c r="C113">
        <v>2</v>
      </c>
      <c r="D113">
        <v>1402300201400</v>
      </c>
      <c r="E113">
        <v>2148702627</v>
      </c>
      <c r="F113">
        <v>195199271.68000001</v>
      </c>
      <c r="G113">
        <v>40204191</v>
      </c>
      <c r="H113">
        <v>1.53227006945789E-3</v>
      </c>
      <c r="I113">
        <v>1.39199346534444E-4</v>
      </c>
      <c r="J113">
        <v>34879.453273913598</v>
      </c>
      <c r="K113">
        <v>1.21970438953405E-3</v>
      </c>
      <c r="L113">
        <v>28.6333859129671</v>
      </c>
      <c r="N113">
        <v>357</v>
      </c>
      <c r="O113" s="2" t="s">
        <v>48</v>
      </c>
      <c r="P113">
        <v>1</v>
      </c>
      <c r="Q113">
        <v>36570999809500</v>
      </c>
      <c r="R113">
        <v>64228955000</v>
      </c>
      <c r="S113">
        <v>6806137767.8999996</v>
      </c>
      <c r="T113">
        <v>828254487</v>
      </c>
      <c r="U113">
        <v>1.75628107884858E-3</v>
      </c>
      <c r="V113" s="1">
        <v>1.8610751150784701E-4</v>
      </c>
      <c r="W113">
        <v>44154.303276958803</v>
      </c>
      <c r="X113">
        <v>3.2118846574849501E-2</v>
      </c>
      <c r="Y113">
        <v>5.57981794887381</v>
      </c>
      <c r="BC113">
        <v>896</v>
      </c>
      <c r="BD113" t="s">
        <v>145</v>
      </c>
      <c r="BE113">
        <v>2</v>
      </c>
      <c r="BF113">
        <v>265426392</v>
      </c>
      <c r="BG113">
        <v>292258864</v>
      </c>
      <c r="BH113">
        <v>24305000</v>
      </c>
      <c r="BI113">
        <v>1936146</v>
      </c>
      <c r="BJ113">
        <v>1.1010919517001101</v>
      </c>
      <c r="BK113">
        <v>9.1569643157414393E-2</v>
      </c>
      <c r="BL113">
        <v>137.090070686818</v>
      </c>
      <c r="BM113">
        <v>3.9091034793221199E-3</v>
      </c>
      <c r="BN113">
        <v>-15.9941592741005</v>
      </c>
    </row>
    <row r="114" spans="1:66" x14ac:dyDescent="0.4">
      <c r="A114">
        <v>362</v>
      </c>
      <c r="B114" t="s">
        <v>71</v>
      </c>
      <c r="C114">
        <v>1</v>
      </c>
      <c r="D114">
        <v>1573042160200</v>
      </c>
      <c r="E114">
        <v>1510488445</v>
      </c>
      <c r="F114">
        <v>112391108.40000001</v>
      </c>
      <c r="G114">
        <v>5237698</v>
      </c>
      <c r="H114">
        <v>9.6023392329672402E-4</v>
      </c>
      <c r="I114" s="1">
        <v>7.1448249286408394E-5</v>
      </c>
      <c r="J114">
        <v>300330.82476309198</v>
      </c>
      <c r="K114">
        <v>1.36821375751253E-3</v>
      </c>
      <c r="L114">
        <v>27.034791436983301</v>
      </c>
      <c r="N114">
        <v>390</v>
      </c>
      <c r="O114" s="2" t="s">
        <v>192</v>
      </c>
      <c r="P114">
        <v>1</v>
      </c>
      <c r="Q114">
        <v>253146621356000</v>
      </c>
      <c r="R114">
        <v>175638353000</v>
      </c>
      <c r="S114">
        <v>25091958719.27</v>
      </c>
      <c r="T114">
        <v>2671895561</v>
      </c>
      <c r="U114">
        <v>6.9382064852052596E-4</v>
      </c>
      <c r="V114" s="1">
        <v>9.9120259179691705E-5</v>
      </c>
      <c r="W114">
        <v>94744.205219329597</v>
      </c>
      <c r="X114">
        <v>0.22232855362523499</v>
      </c>
      <c r="Y114">
        <v>2.1208130089399502</v>
      </c>
      <c r="BC114">
        <v>264</v>
      </c>
      <c r="BD114" t="s">
        <v>106</v>
      </c>
      <c r="BE114">
        <v>2</v>
      </c>
      <c r="BF114">
        <v>263192134.92399999</v>
      </c>
      <c r="BG114">
        <v>206091934</v>
      </c>
      <c r="BH114">
        <v>30659000</v>
      </c>
      <c r="BI114">
        <v>1556500</v>
      </c>
      <c r="BJ114">
        <v>0.78304746477136</v>
      </c>
      <c r="BK114">
        <v>0.116489043294751</v>
      </c>
      <c r="BL114">
        <v>169.09228070928299</v>
      </c>
      <c r="BM114">
        <v>3.8761981527504902E-3</v>
      </c>
      <c r="BN114">
        <v>-16.061903593974201</v>
      </c>
    </row>
    <row r="115" spans="1:66" x14ac:dyDescent="0.4">
      <c r="A115">
        <v>129</v>
      </c>
      <c r="B115" t="s">
        <v>168</v>
      </c>
      <c r="C115">
        <v>2</v>
      </c>
      <c r="D115">
        <v>1667944315230</v>
      </c>
      <c r="E115">
        <v>2502821868</v>
      </c>
      <c r="F115">
        <v>107283333.33</v>
      </c>
      <c r="G115">
        <v>24818764</v>
      </c>
      <c r="H115">
        <v>1.5005428209723299E-3</v>
      </c>
      <c r="I115" s="1">
        <v>6.4320692453816205E-5</v>
      </c>
      <c r="J115">
        <v>67204.971014269599</v>
      </c>
      <c r="K115">
        <v>1.4507585471023501E-3</v>
      </c>
      <c r="L115">
        <v>26.254420154557401</v>
      </c>
      <c r="N115">
        <v>903</v>
      </c>
      <c r="O115" s="2" t="s">
        <v>176</v>
      </c>
      <c r="P115">
        <v>1</v>
      </c>
      <c r="Q115">
        <v>21100000000000</v>
      </c>
      <c r="R115">
        <v>27530172000</v>
      </c>
      <c r="S115">
        <v>1580123117.9300001</v>
      </c>
      <c r="T115">
        <v>332793625</v>
      </c>
      <c r="U115">
        <v>1.3047474881516499E-3</v>
      </c>
      <c r="V115" s="1">
        <v>7.4887351560663505E-5</v>
      </c>
      <c r="W115">
        <v>63402.656826734499</v>
      </c>
      <c r="X115">
        <v>1.8531286162793901E-2</v>
      </c>
      <c r="Y115">
        <v>-7.3459373261855401</v>
      </c>
      <c r="BC115">
        <v>1007</v>
      </c>
      <c r="BD115" t="s">
        <v>224</v>
      </c>
      <c r="BE115">
        <v>3</v>
      </c>
      <c r="BF115">
        <v>229205523.85600001</v>
      </c>
      <c r="BG115">
        <v>190481249</v>
      </c>
      <c r="BH115">
        <v>28435800</v>
      </c>
      <c r="BI115">
        <v>4125225</v>
      </c>
      <c r="BJ115">
        <v>0.83104999301705795</v>
      </c>
      <c r="BK115">
        <v>0.12406245504739601</v>
      </c>
      <c r="BL115">
        <v>55.561944828706302</v>
      </c>
      <c r="BM115">
        <v>3.3756556913350898E-3</v>
      </c>
      <c r="BN115">
        <v>-17.211587473412202</v>
      </c>
    </row>
    <row r="116" spans="1:66" x14ac:dyDescent="0.4">
      <c r="A116">
        <v>587</v>
      </c>
      <c r="B116" t="s">
        <v>79</v>
      </c>
      <c r="C116">
        <v>2</v>
      </c>
      <c r="D116">
        <v>1675703134600</v>
      </c>
      <c r="E116">
        <v>751986657</v>
      </c>
      <c r="F116">
        <v>343275000</v>
      </c>
      <c r="G116">
        <v>13635074</v>
      </c>
      <c r="H116">
        <v>4.4875887707848802E-4</v>
      </c>
      <c r="I116">
        <v>2.04854304388433E-4</v>
      </c>
      <c r="J116">
        <v>122896.519270815</v>
      </c>
      <c r="K116">
        <v>1.45750707786185E-3</v>
      </c>
      <c r="L116">
        <v>26.1935681924707</v>
      </c>
      <c r="N116">
        <v>783</v>
      </c>
      <c r="O116" t="s">
        <v>147</v>
      </c>
      <c r="P116">
        <v>1</v>
      </c>
      <c r="Q116">
        <v>11916181200000</v>
      </c>
      <c r="R116">
        <v>4787042075</v>
      </c>
      <c r="S116">
        <v>568171938.03999996</v>
      </c>
      <c r="T116">
        <v>38675093</v>
      </c>
      <c r="U116">
        <v>4.0172619018247202E-4</v>
      </c>
      <c r="V116" s="1">
        <v>4.7680706469955301E-5</v>
      </c>
      <c r="W116">
        <v>308109.95593468897</v>
      </c>
      <c r="X116">
        <v>1.04655053926495E-2</v>
      </c>
      <c r="Y116">
        <v>-9.7750704726053907</v>
      </c>
      <c r="BC116">
        <v>317</v>
      </c>
      <c r="BD116" t="s">
        <v>37</v>
      </c>
      <c r="BE116">
        <v>2</v>
      </c>
      <c r="BF116">
        <v>225688729.5</v>
      </c>
      <c r="BG116">
        <v>1242731845</v>
      </c>
      <c r="BH116">
        <v>33325000</v>
      </c>
      <c r="BI116">
        <v>8908513</v>
      </c>
      <c r="BJ116">
        <v>5.50639745171679</v>
      </c>
      <c r="BK116">
        <v>0.14765912358064801</v>
      </c>
      <c r="BL116">
        <v>25.334051765990498</v>
      </c>
      <c r="BM116">
        <v>3.3238616216138702E-3</v>
      </c>
      <c r="BN116">
        <v>-17.345168872540999</v>
      </c>
    </row>
    <row r="117" spans="1:66" x14ac:dyDescent="0.4">
      <c r="A117">
        <v>5</v>
      </c>
      <c r="B117" t="s">
        <v>148</v>
      </c>
      <c r="C117">
        <v>2</v>
      </c>
      <c r="D117">
        <v>1699205200000</v>
      </c>
      <c r="E117">
        <v>2004032796.72</v>
      </c>
      <c r="F117">
        <v>230673953.44999999</v>
      </c>
      <c r="G117">
        <v>60167577</v>
      </c>
      <c r="H117">
        <v>1.1793942230873501E-3</v>
      </c>
      <c r="I117">
        <v>1.3575402985466299E-4</v>
      </c>
      <c r="J117">
        <v>28241.210378141001</v>
      </c>
      <c r="K117">
        <v>1.4779489007346401E-3</v>
      </c>
      <c r="L117">
        <v>26.011793079150902</v>
      </c>
      <c r="N117">
        <v>590</v>
      </c>
      <c r="O117" s="2" t="s">
        <v>174</v>
      </c>
      <c r="P117">
        <v>1</v>
      </c>
      <c r="Q117">
        <v>9348449758200</v>
      </c>
      <c r="R117">
        <v>6115314000</v>
      </c>
      <c r="S117">
        <v>1351297955.22</v>
      </c>
      <c r="T117">
        <v>202649026</v>
      </c>
      <c r="U117">
        <v>6.5415273742429304E-4</v>
      </c>
      <c r="V117" s="1">
        <v>1.44547811687676E-4</v>
      </c>
      <c r="W117">
        <v>46131.234591771397</v>
      </c>
      <c r="X117">
        <v>8.2103695567633007E-3</v>
      </c>
      <c r="Y117">
        <v>-11.0361767474619</v>
      </c>
      <c r="BC117">
        <v>478</v>
      </c>
      <c r="BD117" t="s">
        <v>198</v>
      </c>
      <c r="BE117">
        <v>2</v>
      </c>
      <c r="BF117">
        <v>225261905.78999999</v>
      </c>
      <c r="BG117">
        <v>456315061</v>
      </c>
      <c r="BH117">
        <v>27925000</v>
      </c>
      <c r="BI117">
        <v>12493527</v>
      </c>
      <c r="BJ117">
        <v>2.0257089604196001</v>
      </c>
      <c r="BK117">
        <v>0.123966810553547</v>
      </c>
      <c r="BL117">
        <v>18.030289268194601</v>
      </c>
      <c r="BM117">
        <v>3.3175755170662198E-3</v>
      </c>
      <c r="BN117">
        <v>-17.3615938106262</v>
      </c>
    </row>
    <row r="118" spans="1:66" x14ac:dyDescent="0.4">
      <c r="A118">
        <v>596</v>
      </c>
      <c r="B118" t="s">
        <v>131</v>
      </c>
      <c r="C118">
        <v>1</v>
      </c>
      <c r="D118">
        <v>1853134478100</v>
      </c>
      <c r="E118">
        <v>1685441625</v>
      </c>
      <c r="F118">
        <v>114399844.11</v>
      </c>
      <c r="G118">
        <v>8282577</v>
      </c>
      <c r="H118">
        <v>9.0950853535900198E-4</v>
      </c>
      <c r="I118" s="1">
        <v>6.1733158312014594E-5</v>
      </c>
      <c r="J118">
        <v>223738.877175545</v>
      </c>
      <c r="K118">
        <v>1.61183479477426E-3</v>
      </c>
      <c r="L118">
        <v>24.908050448222902</v>
      </c>
      <c r="N118">
        <v>950</v>
      </c>
      <c r="O118" t="s">
        <v>235</v>
      </c>
      <c r="P118">
        <v>1</v>
      </c>
      <c r="Q118">
        <v>7437350664100</v>
      </c>
      <c r="R118">
        <v>1276926970.25</v>
      </c>
      <c r="S118">
        <v>326438809.64999998</v>
      </c>
      <c r="T118">
        <v>38990043</v>
      </c>
      <c r="U118">
        <v>1.7169110721290901E-4</v>
      </c>
      <c r="V118" s="1">
        <v>4.3891813683831797E-5</v>
      </c>
      <c r="W118">
        <v>190749.99902154499</v>
      </c>
      <c r="X118">
        <v>6.53192765163423E-3</v>
      </c>
      <c r="Y118">
        <v>-12.3731226260788</v>
      </c>
      <c r="BC118">
        <v>448</v>
      </c>
      <c r="BD118" t="s">
        <v>209</v>
      </c>
      <c r="BE118">
        <v>2</v>
      </c>
      <c r="BF118">
        <v>220985647.19999999</v>
      </c>
      <c r="BG118">
        <v>218691263</v>
      </c>
      <c r="BH118">
        <v>30279558.75</v>
      </c>
      <c r="BI118">
        <v>3847759</v>
      </c>
      <c r="BJ118">
        <v>0.98961749675116395</v>
      </c>
      <c r="BK118">
        <v>0.137020476821265</v>
      </c>
      <c r="BL118">
        <v>57.432299476136599</v>
      </c>
      <c r="BM118">
        <v>3.2545963339989598E-3</v>
      </c>
      <c r="BN118">
        <v>-17.528769676269199</v>
      </c>
    </row>
    <row r="119" spans="1:66" x14ac:dyDescent="0.4">
      <c r="A119">
        <v>408</v>
      </c>
      <c r="B119" t="s">
        <v>118</v>
      </c>
      <c r="C119">
        <v>2</v>
      </c>
      <c r="D119">
        <v>1874040000000</v>
      </c>
      <c r="E119">
        <v>2359756000</v>
      </c>
      <c r="F119">
        <v>265053125</v>
      </c>
      <c r="G119">
        <v>34708839</v>
      </c>
      <c r="H119">
        <v>1.2591812341252E-3</v>
      </c>
      <c r="I119">
        <v>1.4143408091609499E-4</v>
      </c>
      <c r="J119">
        <v>53993.162951949998</v>
      </c>
      <c r="K119">
        <v>1.6300181743398299E-3</v>
      </c>
      <c r="L119">
        <v>24.768732146823599</v>
      </c>
      <c r="N119">
        <v>1026</v>
      </c>
      <c r="O119" t="s">
        <v>240</v>
      </c>
      <c r="P119">
        <v>1</v>
      </c>
      <c r="Q119">
        <v>6787500000000</v>
      </c>
      <c r="R119">
        <v>3250107537</v>
      </c>
      <c r="S119">
        <v>594099401.78999996</v>
      </c>
      <c r="T119">
        <v>112500000</v>
      </c>
      <c r="U119">
        <v>4.7883720618784498E-4</v>
      </c>
      <c r="V119" s="1">
        <v>8.7528456985635293E-5</v>
      </c>
      <c r="W119">
        <v>60333.333333333299</v>
      </c>
      <c r="X119">
        <v>5.9611898023679399E-3</v>
      </c>
      <c r="Y119">
        <v>-12.951901266037501</v>
      </c>
      <c r="BC119">
        <v>707</v>
      </c>
      <c r="BD119" t="s">
        <v>188</v>
      </c>
      <c r="BE119">
        <v>2</v>
      </c>
      <c r="BF119">
        <v>210140746.19999999</v>
      </c>
      <c r="BG119">
        <v>241988795</v>
      </c>
      <c r="BH119">
        <v>100187500</v>
      </c>
      <c r="BI119">
        <v>6019889</v>
      </c>
      <c r="BJ119">
        <v>1.15155579951014</v>
      </c>
      <c r="BK119">
        <v>0.47676379670150798</v>
      </c>
      <c r="BL119">
        <v>34.907744345452201</v>
      </c>
      <c r="BM119">
        <v>3.09487657172301E-3</v>
      </c>
      <c r="BN119">
        <v>-17.975390478062099</v>
      </c>
    </row>
    <row r="120" spans="1:66" x14ac:dyDescent="0.4">
      <c r="A120">
        <v>298</v>
      </c>
      <c r="B120" t="s">
        <v>202</v>
      </c>
      <c r="C120">
        <v>1</v>
      </c>
      <c r="D120">
        <v>1909949588000</v>
      </c>
      <c r="E120">
        <v>1759087683</v>
      </c>
      <c r="F120">
        <v>130730247.15000001</v>
      </c>
      <c r="G120">
        <v>23130500</v>
      </c>
      <c r="H120">
        <v>9.2101262465362995E-4</v>
      </c>
      <c r="I120" s="1">
        <v>6.8446962145683602E-5</v>
      </c>
      <c r="J120">
        <v>82572.775685782806</v>
      </c>
      <c r="K120">
        <v>1.66125191592115E-3</v>
      </c>
      <c r="L120">
        <v>24.5347847744383</v>
      </c>
      <c r="N120">
        <v>927</v>
      </c>
      <c r="O120" t="s">
        <v>257</v>
      </c>
      <c r="P120">
        <v>1</v>
      </c>
      <c r="Q120">
        <v>6480026001000</v>
      </c>
      <c r="R120">
        <v>1709092019</v>
      </c>
      <c r="S120">
        <v>341344082.16000003</v>
      </c>
      <c r="T120">
        <v>60064361</v>
      </c>
      <c r="U120">
        <v>2.6374771007651001E-4</v>
      </c>
      <c r="V120" s="1">
        <v>5.2676344525056401E-5</v>
      </c>
      <c r="W120">
        <v>107884.70722264001</v>
      </c>
      <c r="X120">
        <v>5.6911476856339304E-3</v>
      </c>
      <c r="Y120">
        <v>-13.2556208090209</v>
      </c>
      <c r="BC120">
        <v>225</v>
      </c>
      <c r="BD120" t="s">
        <v>225</v>
      </c>
      <c r="BE120">
        <v>3</v>
      </c>
      <c r="BF120">
        <v>193031101.896</v>
      </c>
      <c r="BG120">
        <v>152839354</v>
      </c>
      <c r="BH120">
        <v>25708333.329999998</v>
      </c>
      <c r="BI120">
        <v>3403351</v>
      </c>
      <c r="BJ120">
        <v>0.79178615517796502</v>
      </c>
      <c r="BK120">
        <v>0.13318233734090601</v>
      </c>
      <c r="BL120">
        <v>56.717952951664401</v>
      </c>
      <c r="BM120">
        <v>2.8428919458734002E-3</v>
      </c>
      <c r="BN120">
        <v>-18.755118973162499</v>
      </c>
    </row>
    <row r="121" spans="1:66" x14ac:dyDescent="0.4">
      <c r="A121">
        <v>352</v>
      </c>
      <c r="B121" t="s">
        <v>153</v>
      </c>
      <c r="C121">
        <v>1</v>
      </c>
      <c r="D121">
        <v>2068204800000</v>
      </c>
      <c r="E121">
        <v>2336924681</v>
      </c>
      <c r="F121">
        <v>94545130.840000004</v>
      </c>
      <c r="G121">
        <v>11382268</v>
      </c>
      <c r="H121">
        <v>1.1299290481290799E-3</v>
      </c>
      <c r="I121" s="1">
        <v>4.5713621223584802E-5</v>
      </c>
      <c r="J121">
        <v>181704.103259561</v>
      </c>
      <c r="K121">
        <v>1.7989004569042601E-3</v>
      </c>
      <c r="L121">
        <v>23.577428361442202</v>
      </c>
      <c r="N121">
        <v>886</v>
      </c>
      <c r="O121" s="2" t="s">
        <v>217</v>
      </c>
      <c r="P121">
        <v>1</v>
      </c>
      <c r="Q121">
        <v>5804530439100</v>
      </c>
      <c r="R121">
        <v>6650265791</v>
      </c>
      <c r="S121">
        <v>352339212.5</v>
      </c>
      <c r="T121">
        <v>173101043</v>
      </c>
      <c r="U121">
        <v>1.1457026301736699E-3</v>
      </c>
      <c r="V121" s="1">
        <v>6.0700726130506802E-5</v>
      </c>
      <c r="W121">
        <v>33532.613891298097</v>
      </c>
      <c r="X121">
        <v>5.0978869482279504E-3</v>
      </c>
      <c r="Y121">
        <v>-14.0057025893747</v>
      </c>
      <c r="BC121">
        <v>1132</v>
      </c>
      <c r="BD121" t="s">
        <v>228</v>
      </c>
      <c r="BE121">
        <v>2</v>
      </c>
      <c r="BF121">
        <v>1609542649</v>
      </c>
      <c r="BG121">
        <v>1355323101</v>
      </c>
      <c r="BH121">
        <v>210714913.61000001</v>
      </c>
      <c r="BI121">
        <v>44951654</v>
      </c>
      <c r="BJ121">
        <v>0.84205479229895197</v>
      </c>
      <c r="BK121">
        <v>0.13091601750404999</v>
      </c>
      <c r="BL121">
        <v>35.806082886293702</v>
      </c>
      <c r="BM121">
        <v>2.37047594322242E-2</v>
      </c>
      <c r="BN121">
        <v>-19.485137670121699</v>
      </c>
    </row>
    <row r="122" spans="1:66" x14ac:dyDescent="0.4">
      <c r="A122">
        <v>991</v>
      </c>
      <c r="B122" t="s">
        <v>133</v>
      </c>
      <c r="C122">
        <v>1</v>
      </c>
      <c r="D122">
        <v>2405866859550</v>
      </c>
      <c r="E122">
        <v>3222417310</v>
      </c>
      <c r="F122">
        <v>297015140.12</v>
      </c>
      <c r="G122">
        <v>52738513</v>
      </c>
      <c r="H122">
        <v>1.3393996834067199E-3</v>
      </c>
      <c r="I122">
        <v>1.23454520744158E-4</v>
      </c>
      <c r="J122">
        <v>45618.784502892602</v>
      </c>
      <c r="K122">
        <v>2.09259498522357E-3</v>
      </c>
      <c r="L122">
        <v>21.860365042715301</v>
      </c>
      <c r="N122">
        <v>134</v>
      </c>
      <c r="O122" t="s">
        <v>244</v>
      </c>
      <c r="P122">
        <v>1</v>
      </c>
      <c r="Q122">
        <v>4968863273000</v>
      </c>
      <c r="R122">
        <v>1397520037</v>
      </c>
      <c r="S122">
        <v>227483513.46000001</v>
      </c>
      <c r="T122">
        <v>31507542</v>
      </c>
      <c r="U122">
        <v>2.8125548243476402E-4</v>
      </c>
      <c r="V122" s="1">
        <v>4.5781801784747903E-5</v>
      </c>
      <c r="W122">
        <v>157703.93237911101</v>
      </c>
      <c r="X122">
        <v>4.3639538964815004E-3</v>
      </c>
      <c r="Y122">
        <v>-15.1377010108194</v>
      </c>
      <c r="BC122">
        <v>753</v>
      </c>
      <c r="BD122" t="s">
        <v>215</v>
      </c>
      <c r="BE122">
        <v>2</v>
      </c>
      <c r="BF122">
        <v>175481390</v>
      </c>
      <c r="BG122">
        <v>214552666</v>
      </c>
      <c r="BH122">
        <v>21500000</v>
      </c>
      <c r="BI122">
        <v>3816768</v>
      </c>
      <c r="BJ122">
        <v>1.22265196326516</v>
      </c>
      <c r="BK122">
        <v>0.12252011452610399</v>
      </c>
      <c r="BL122">
        <v>45.9764360841423</v>
      </c>
      <c r="BM122">
        <v>2.5844261643931899E-3</v>
      </c>
      <c r="BN122">
        <v>-19.670614869788899</v>
      </c>
    </row>
    <row r="123" spans="1:66" x14ac:dyDescent="0.4">
      <c r="A123">
        <v>336</v>
      </c>
      <c r="B123" t="s">
        <v>189</v>
      </c>
      <c r="C123">
        <v>1</v>
      </c>
      <c r="D123">
        <v>2501664000000</v>
      </c>
      <c r="E123">
        <v>2435406304</v>
      </c>
      <c r="F123">
        <v>107782871.25</v>
      </c>
      <c r="G123">
        <v>16019178</v>
      </c>
      <c r="H123">
        <v>9.7351455031531001E-4</v>
      </c>
      <c r="I123" s="1">
        <v>4.3084471475785702E-5</v>
      </c>
      <c r="J123">
        <v>156166.81455190701</v>
      </c>
      <c r="K123">
        <v>2.1759182227122499E-3</v>
      </c>
      <c r="L123">
        <v>21.437725977270699</v>
      </c>
      <c r="N123">
        <v>852</v>
      </c>
      <c r="O123" t="s">
        <v>251</v>
      </c>
      <c r="P123">
        <v>1</v>
      </c>
      <c r="Q123">
        <v>4781375052000</v>
      </c>
      <c r="R123">
        <v>823749217</v>
      </c>
      <c r="S123">
        <v>198656573.28999999</v>
      </c>
      <c r="T123">
        <v>29728393</v>
      </c>
      <c r="U123">
        <v>1.7228291193250599E-4</v>
      </c>
      <c r="V123" s="1">
        <v>4.1548000549947203E-5</v>
      </c>
      <c r="W123">
        <v>160835.301524707</v>
      </c>
      <c r="X123">
        <v>4.1992904900595004E-3</v>
      </c>
      <c r="Y123">
        <v>-15.4316384918459</v>
      </c>
      <c r="BC123">
        <v>1115</v>
      </c>
      <c r="BD123" t="s">
        <v>124</v>
      </c>
      <c r="BE123">
        <v>3</v>
      </c>
      <c r="BF123">
        <v>172850141.80000001</v>
      </c>
      <c r="BG123">
        <v>230164387</v>
      </c>
      <c r="BH123">
        <v>56475000</v>
      </c>
      <c r="BI123">
        <v>6084589</v>
      </c>
      <c r="BJ123">
        <v>1.33158344334086</v>
      </c>
      <c r="BK123">
        <v>0.32672810916953399</v>
      </c>
      <c r="BL123">
        <v>28.407858246464901</v>
      </c>
      <c r="BM123">
        <v>2.54567409676315E-3</v>
      </c>
      <c r="BN123">
        <v>-19.8197694473842</v>
      </c>
    </row>
    <row r="124" spans="1:66" x14ac:dyDescent="0.4">
      <c r="A124">
        <v>14</v>
      </c>
      <c r="B124" t="s">
        <v>94</v>
      </c>
      <c r="C124">
        <v>2</v>
      </c>
      <c r="D124">
        <v>2506854789200</v>
      </c>
      <c r="E124">
        <v>2448974999</v>
      </c>
      <c r="F124">
        <v>492138643.58999997</v>
      </c>
      <c r="G124">
        <v>69584788</v>
      </c>
      <c r="H124">
        <v>9.7691139093921309E-4</v>
      </c>
      <c r="I124">
        <v>1.9631717230300899E-4</v>
      </c>
      <c r="J124">
        <v>36025.9025176594</v>
      </c>
      <c r="K124">
        <v>2.1804331107270099E-3</v>
      </c>
      <c r="L124">
        <v>21.415519589178199</v>
      </c>
      <c r="N124">
        <v>170</v>
      </c>
      <c r="O124" s="2" t="s">
        <v>186</v>
      </c>
      <c r="P124">
        <v>1</v>
      </c>
      <c r="Q124">
        <v>4175100891500</v>
      </c>
      <c r="R124">
        <v>5728709146</v>
      </c>
      <c r="S124">
        <v>290856349.63</v>
      </c>
      <c r="T124">
        <v>88501032</v>
      </c>
      <c r="U124">
        <v>1.37211274526633E-3</v>
      </c>
      <c r="V124" s="1">
        <v>6.9664508041505799E-5</v>
      </c>
      <c r="W124">
        <v>47175.7311428865</v>
      </c>
      <c r="X124">
        <v>3.66682414118116E-3</v>
      </c>
      <c r="Y124">
        <v>-16.514101860224699</v>
      </c>
      <c r="BC124">
        <v>31</v>
      </c>
      <c r="BD124" t="s">
        <v>199</v>
      </c>
      <c r="BE124">
        <v>3</v>
      </c>
      <c r="BF124">
        <v>166066262.40000001</v>
      </c>
      <c r="BG124">
        <v>286253146</v>
      </c>
      <c r="BH124">
        <v>23875000</v>
      </c>
      <c r="BI124">
        <v>10628830</v>
      </c>
      <c r="BJ124">
        <v>1.72372847960236</v>
      </c>
      <c r="BK124">
        <v>0.14376791321100901</v>
      </c>
      <c r="BL124">
        <v>15.624133832228001</v>
      </c>
      <c r="BM124">
        <v>2.4457635853553702E-3</v>
      </c>
      <c r="BN124">
        <v>-20.220540617021001</v>
      </c>
    </row>
    <row r="125" spans="1:66" x14ac:dyDescent="0.4">
      <c r="A125">
        <v>740</v>
      </c>
      <c r="B125" t="s">
        <v>181</v>
      </c>
      <c r="C125">
        <v>1</v>
      </c>
      <c r="D125">
        <v>2644656709000</v>
      </c>
      <c r="E125">
        <v>3473164583.4400001</v>
      </c>
      <c r="F125">
        <v>225804914.78</v>
      </c>
      <c r="G125">
        <v>70106125</v>
      </c>
      <c r="H125">
        <v>1.3132761509728301E-3</v>
      </c>
      <c r="I125" s="1">
        <v>8.5381559735736495E-5</v>
      </c>
      <c r="J125">
        <v>37723.618428489601</v>
      </c>
      <c r="K125">
        <v>2.3002916162727402E-3</v>
      </c>
      <c r="L125">
        <v>20.8501196575628</v>
      </c>
      <c r="N125">
        <v>664</v>
      </c>
      <c r="O125" t="s">
        <v>264</v>
      </c>
      <c r="P125">
        <v>1</v>
      </c>
      <c r="Q125">
        <v>3856916567000</v>
      </c>
      <c r="R125">
        <v>1029910617</v>
      </c>
      <c r="S125">
        <v>179276420.56</v>
      </c>
      <c r="T125">
        <v>40572287</v>
      </c>
      <c r="U125">
        <v>2.6702952970566503E-4</v>
      </c>
      <c r="V125" s="1">
        <v>4.6481798982612003E-5</v>
      </c>
      <c r="W125">
        <v>95062.833578989506</v>
      </c>
      <c r="X125">
        <v>3.3873755738908799E-3</v>
      </c>
      <c r="Y125">
        <v>-17.181786738115299</v>
      </c>
      <c r="BC125">
        <v>907</v>
      </c>
      <c r="BD125" t="s">
        <v>223</v>
      </c>
      <c r="BE125">
        <v>3</v>
      </c>
      <c r="BF125">
        <v>164774284.80000001</v>
      </c>
      <c r="BG125">
        <v>177558032</v>
      </c>
      <c r="BH125">
        <v>23046666.670000002</v>
      </c>
      <c r="BI125">
        <v>3389265</v>
      </c>
      <c r="BJ125">
        <v>1.0775833875748</v>
      </c>
      <c r="BK125">
        <v>0.139868103193247</v>
      </c>
      <c r="BL125">
        <v>48.616524467694298</v>
      </c>
      <c r="BM125">
        <v>2.42673580860224E-3</v>
      </c>
      <c r="BN125">
        <v>-20.299659380999099</v>
      </c>
    </row>
    <row r="126" spans="1:66" x14ac:dyDescent="0.4">
      <c r="A126">
        <v>912</v>
      </c>
      <c r="B126" t="s">
        <v>116</v>
      </c>
      <c r="C126">
        <v>2</v>
      </c>
      <c r="D126">
        <v>2744190917600</v>
      </c>
      <c r="E126">
        <v>3691744206</v>
      </c>
      <c r="F126">
        <v>402777224.56</v>
      </c>
      <c r="G126">
        <v>84018888</v>
      </c>
      <c r="H126">
        <v>1.34529422946589E-3</v>
      </c>
      <c r="I126">
        <v>1.46774490789532E-4</v>
      </c>
      <c r="J126">
        <v>32661.595302237201</v>
      </c>
      <c r="K126">
        <v>2.38686531213117E-3</v>
      </c>
      <c r="L126">
        <v>20.468501235892099</v>
      </c>
      <c r="N126">
        <v>652</v>
      </c>
      <c r="O126" s="2" t="s">
        <v>162</v>
      </c>
      <c r="P126">
        <v>2</v>
      </c>
      <c r="Q126">
        <v>3379068000000</v>
      </c>
      <c r="R126">
        <v>2243538876</v>
      </c>
      <c r="S126">
        <v>210747028.69999999</v>
      </c>
      <c r="T126">
        <v>15939000</v>
      </c>
      <c r="U126">
        <v>6.6395197610702103E-4</v>
      </c>
      <c r="V126" s="1">
        <v>6.2368389360616594E-5</v>
      </c>
      <c r="W126">
        <v>212000</v>
      </c>
      <c r="X126">
        <v>2.9677002877506898E-3</v>
      </c>
      <c r="Y126">
        <v>-18.3565043098221</v>
      </c>
      <c r="BC126">
        <v>373</v>
      </c>
      <c r="BD126" t="s">
        <v>125</v>
      </c>
      <c r="BE126">
        <v>3</v>
      </c>
      <c r="BF126">
        <v>156510199.75</v>
      </c>
      <c r="BG126">
        <v>465305423</v>
      </c>
      <c r="BH126">
        <v>14525000</v>
      </c>
      <c r="BI126">
        <v>4000000</v>
      </c>
      <c r="BJ126">
        <v>2.97300382814187</v>
      </c>
      <c r="BK126">
        <v>9.2805453083577696E-2</v>
      </c>
      <c r="BL126">
        <v>39.1275499375</v>
      </c>
      <c r="BM126">
        <v>2.3050253660989598E-3</v>
      </c>
      <c r="BN126">
        <v>-20.8286990741592</v>
      </c>
    </row>
    <row r="127" spans="1:66" x14ac:dyDescent="0.4">
      <c r="A127">
        <v>948</v>
      </c>
      <c r="B127" t="s">
        <v>201</v>
      </c>
      <c r="C127">
        <v>2</v>
      </c>
      <c r="D127">
        <v>2789969129500</v>
      </c>
      <c r="E127">
        <v>2501913098</v>
      </c>
      <c r="F127">
        <v>250946875</v>
      </c>
      <c r="G127">
        <v>56938146</v>
      </c>
      <c r="H127">
        <v>8.9675296817652399E-4</v>
      </c>
      <c r="I127" s="1">
        <v>8.9946111713778306E-5</v>
      </c>
      <c r="J127">
        <v>48999.999569708503</v>
      </c>
      <c r="K127">
        <v>2.42668266788973E-3</v>
      </c>
      <c r="L127">
        <v>20.299881645836599</v>
      </c>
      <c r="N127">
        <v>9</v>
      </c>
      <c r="O127" t="s">
        <v>227</v>
      </c>
      <c r="P127">
        <v>1</v>
      </c>
      <c r="Q127">
        <v>3137227261000</v>
      </c>
      <c r="R127">
        <v>1433630369</v>
      </c>
      <c r="S127">
        <v>135887500</v>
      </c>
      <c r="T127">
        <v>20074690</v>
      </c>
      <c r="U127">
        <v>4.5697370631129402E-4</v>
      </c>
      <c r="V127" s="1">
        <v>4.3314522250034701E-5</v>
      </c>
      <c r="W127">
        <v>156277.74381571999</v>
      </c>
      <c r="X127">
        <v>2.7553012384506702E-3</v>
      </c>
      <c r="Y127">
        <v>-19.0508981978031</v>
      </c>
      <c r="BC127">
        <v>731</v>
      </c>
      <c r="BD127" t="s">
        <v>232</v>
      </c>
      <c r="BE127">
        <v>2</v>
      </c>
      <c r="BF127">
        <v>126904478.67</v>
      </c>
      <c r="BG127">
        <v>276937265</v>
      </c>
      <c r="BH127">
        <v>12271623.75</v>
      </c>
      <c r="BI127">
        <v>3218988</v>
      </c>
      <c r="BJ127">
        <v>2.1822497354103798</v>
      </c>
      <c r="BK127">
        <v>9.6699690023635002E-2</v>
      </c>
      <c r="BL127">
        <v>39.4237190912174</v>
      </c>
      <c r="BM127">
        <v>1.86900306097088E-3</v>
      </c>
      <c r="BN127">
        <v>-23.131031161446</v>
      </c>
    </row>
    <row r="128" spans="1:66" x14ac:dyDescent="0.4">
      <c r="A128">
        <v>648</v>
      </c>
      <c r="B128" t="s">
        <v>137</v>
      </c>
      <c r="C128">
        <v>1</v>
      </c>
      <c r="D128">
        <v>26769562325000</v>
      </c>
      <c r="E128">
        <v>26861222000</v>
      </c>
      <c r="F128">
        <v>3468701979.8200002</v>
      </c>
      <c r="G128">
        <v>330973328</v>
      </c>
      <c r="H128">
        <v>1.00342402590999E-3</v>
      </c>
      <c r="I128">
        <v>1.2957634262778301E-4</v>
      </c>
      <c r="J128">
        <v>80881.328071849901</v>
      </c>
      <c r="K128">
        <v>2.3283853657804901E-2</v>
      </c>
      <c r="L128">
        <v>19.660466759375101</v>
      </c>
      <c r="N128">
        <v>452</v>
      </c>
      <c r="O128" t="s">
        <v>237</v>
      </c>
      <c r="P128">
        <v>1</v>
      </c>
      <c r="Q128">
        <v>2580000000000</v>
      </c>
      <c r="R128">
        <v>990953848</v>
      </c>
      <c r="S128">
        <v>125925547.88</v>
      </c>
      <c r="T128">
        <v>17559984</v>
      </c>
      <c r="U128">
        <v>3.8409063875968899E-4</v>
      </c>
      <c r="V128" s="1">
        <v>4.88083518914728E-5</v>
      </c>
      <c r="W128">
        <v>146924.963029579</v>
      </c>
      <c r="X128">
        <v>2.2659108199055999E-3</v>
      </c>
      <c r="Y128">
        <v>-21.007704185960002</v>
      </c>
      <c r="BC128">
        <v>1140</v>
      </c>
      <c r="BD128" t="s">
        <v>252</v>
      </c>
      <c r="BE128">
        <v>2</v>
      </c>
      <c r="BF128">
        <v>124951416.877</v>
      </c>
      <c r="BG128">
        <v>119415519</v>
      </c>
      <c r="BH128">
        <v>21025000</v>
      </c>
      <c r="BI128">
        <v>3528000</v>
      </c>
      <c r="BJ128">
        <v>0.95569559741407695</v>
      </c>
      <c r="BK128">
        <v>0.16826539886855801</v>
      </c>
      <c r="BL128">
        <v>35.417068275793604</v>
      </c>
      <c r="BM128">
        <v>1.8402390763768101E-3</v>
      </c>
      <c r="BN128">
        <v>-23.311105816416301</v>
      </c>
    </row>
    <row r="129" spans="1:66" x14ac:dyDescent="0.4">
      <c r="A129">
        <v>107</v>
      </c>
      <c r="B129" t="s">
        <v>166</v>
      </c>
      <c r="C129">
        <v>1</v>
      </c>
      <c r="D129">
        <v>3240750000000</v>
      </c>
      <c r="E129">
        <v>3504313509.8400002</v>
      </c>
      <c r="F129">
        <v>362461356.85000002</v>
      </c>
      <c r="G129">
        <v>59801586</v>
      </c>
      <c r="H129">
        <v>1.0813279363850899E-3</v>
      </c>
      <c r="I129">
        <v>1.11844899128288E-4</v>
      </c>
      <c r="J129">
        <v>54191.7065544047</v>
      </c>
      <c r="K129">
        <v>2.8187666210389298E-3</v>
      </c>
      <c r="L129">
        <v>18.835208842163802</v>
      </c>
      <c r="N129">
        <v>507</v>
      </c>
      <c r="O129" t="s">
        <v>229</v>
      </c>
      <c r="P129">
        <v>1</v>
      </c>
      <c r="Q129">
        <v>2404097759150</v>
      </c>
      <c r="R129">
        <v>648134480</v>
      </c>
      <c r="S129">
        <v>109135979.41</v>
      </c>
      <c r="T129">
        <v>13514592</v>
      </c>
      <c r="U129">
        <v>2.6959572568677702E-4</v>
      </c>
      <c r="V129" s="1">
        <v>4.5395815954084303E-5</v>
      </c>
      <c r="W129">
        <v>177889.03720881799</v>
      </c>
      <c r="X129">
        <v>2.1114229164995299E-3</v>
      </c>
      <c r="Y129">
        <v>-21.762680418186299</v>
      </c>
      <c r="BC129">
        <v>1081</v>
      </c>
      <c r="BD129" t="s">
        <v>267</v>
      </c>
      <c r="BE129">
        <v>2</v>
      </c>
      <c r="BF129">
        <v>747123702.70000005</v>
      </c>
      <c r="BG129">
        <v>465073179</v>
      </c>
      <c r="BH129">
        <v>113838229.20999999</v>
      </c>
      <c r="BI129">
        <v>51402062</v>
      </c>
      <c r="BJ129">
        <v>0.62248484062182796</v>
      </c>
      <c r="BK129">
        <v>0.15236864899159799</v>
      </c>
      <c r="BL129">
        <v>14.534897504695399</v>
      </c>
      <c r="BM129">
        <v>1.10033664840254E-2</v>
      </c>
      <c r="BN129">
        <v>-28.599501659179701</v>
      </c>
    </row>
    <row r="130" spans="1:66" x14ac:dyDescent="0.4">
      <c r="A130">
        <v>48</v>
      </c>
      <c r="B130" t="s">
        <v>205</v>
      </c>
      <c r="C130">
        <v>1</v>
      </c>
      <c r="D130">
        <v>29265695073000</v>
      </c>
      <c r="E130">
        <v>21697159000</v>
      </c>
      <c r="F130">
        <v>2398063114.04</v>
      </c>
      <c r="G130">
        <v>353000898</v>
      </c>
      <c r="H130">
        <v>7.4138539836073796E-4</v>
      </c>
      <c r="I130" s="1">
        <v>8.1941095472302895E-5</v>
      </c>
      <c r="J130">
        <v>82905.440860946401</v>
      </c>
      <c r="K130">
        <v>2.5454960861922699E-2</v>
      </c>
      <c r="L130">
        <v>18.803341685188698</v>
      </c>
      <c r="N130">
        <v>1132</v>
      </c>
      <c r="O130" t="s">
        <v>228</v>
      </c>
      <c r="P130">
        <v>2</v>
      </c>
      <c r="Q130">
        <v>2319681728000</v>
      </c>
      <c r="R130">
        <v>1355323101</v>
      </c>
      <c r="S130">
        <v>210714913.61000001</v>
      </c>
      <c r="T130">
        <v>44951654</v>
      </c>
      <c r="U130">
        <v>5.8427114575262896E-4</v>
      </c>
      <c r="V130" s="1">
        <v>9.0837855498252207E-5</v>
      </c>
      <c r="W130">
        <v>51603.923806674597</v>
      </c>
      <c r="X130">
        <v>2.0372836923304299E-3</v>
      </c>
      <c r="Y130">
        <v>-22.155127086490001</v>
      </c>
      <c r="BC130">
        <v>851</v>
      </c>
      <c r="BD130" t="s">
        <v>249</v>
      </c>
      <c r="BE130">
        <v>2</v>
      </c>
      <c r="BF130">
        <v>75498393.150000006</v>
      </c>
      <c r="BG130">
        <v>247499980</v>
      </c>
      <c r="BH130">
        <v>10212500</v>
      </c>
      <c r="BI130">
        <v>5898231</v>
      </c>
      <c r="BJ130">
        <v>3.2782152000012399</v>
      </c>
      <c r="BK130">
        <v>0.13526777953684099</v>
      </c>
      <c r="BL130">
        <v>12.800175705224101</v>
      </c>
      <c r="BM130">
        <v>1.1119129078388499E-3</v>
      </c>
      <c r="BN130">
        <v>-29.989181598880499</v>
      </c>
    </row>
    <row r="131" spans="1:66" x14ac:dyDescent="0.4">
      <c r="A131">
        <v>522</v>
      </c>
      <c r="B131" t="s">
        <v>194</v>
      </c>
      <c r="C131">
        <v>1</v>
      </c>
      <c r="D131">
        <v>3730574254800</v>
      </c>
      <c r="E131">
        <v>4189546066</v>
      </c>
      <c r="F131">
        <v>178647829.02000001</v>
      </c>
      <c r="G131">
        <v>36346848</v>
      </c>
      <c r="H131">
        <v>1.12302980180851E-3</v>
      </c>
      <c r="I131" s="1">
        <v>4.7887487774875399E-5</v>
      </c>
      <c r="J131">
        <v>102638.178001019</v>
      </c>
      <c r="K131">
        <v>3.2448100553073901E-3</v>
      </c>
      <c r="L131">
        <v>17.555182975599401</v>
      </c>
      <c r="N131">
        <v>410</v>
      </c>
      <c r="O131" t="s">
        <v>258</v>
      </c>
      <c r="P131">
        <v>1</v>
      </c>
      <c r="Q131">
        <v>2121106647000</v>
      </c>
      <c r="R131">
        <v>982927563</v>
      </c>
      <c r="S131">
        <v>75339474.540000007</v>
      </c>
      <c r="T131">
        <v>20235562</v>
      </c>
      <c r="U131">
        <v>4.6340317889730299E-4</v>
      </c>
      <c r="V131" s="1">
        <v>3.55189469829613E-5</v>
      </c>
      <c r="W131">
        <v>104820.743155045</v>
      </c>
      <c r="X131">
        <v>1.8628831401593E-3</v>
      </c>
      <c r="Y131">
        <v>-23.168994897246801</v>
      </c>
      <c r="BC131">
        <v>983</v>
      </c>
      <c r="BD131" t="s">
        <v>255</v>
      </c>
      <c r="BE131">
        <v>2</v>
      </c>
      <c r="BF131">
        <v>443872600</v>
      </c>
      <c r="BG131">
        <v>472661542</v>
      </c>
      <c r="BH131">
        <v>53213709.969999999</v>
      </c>
      <c r="BI131">
        <v>19335155</v>
      </c>
      <c r="BJ131">
        <v>1.0648585697788</v>
      </c>
      <c r="BK131">
        <v>0.119885097593318</v>
      </c>
      <c r="BL131">
        <v>22.956764504861699</v>
      </c>
      <c r="BM131">
        <v>6.5371944061830799E-3</v>
      </c>
      <c r="BN131">
        <v>-37.104412074593299</v>
      </c>
    </row>
    <row r="132" spans="1:66" x14ac:dyDescent="0.4">
      <c r="A132">
        <v>659</v>
      </c>
      <c r="B132" t="s">
        <v>172</v>
      </c>
      <c r="C132">
        <v>1</v>
      </c>
      <c r="D132">
        <v>3867208434000</v>
      </c>
      <c r="E132">
        <v>2473023894</v>
      </c>
      <c r="F132">
        <v>438489611.39999998</v>
      </c>
      <c r="G132">
        <v>36792090</v>
      </c>
      <c r="H132">
        <v>6.3948554524692505E-4</v>
      </c>
      <c r="I132">
        <v>1.13386598856388E-4</v>
      </c>
      <c r="J132">
        <v>105109.77859643201</v>
      </c>
      <c r="K132">
        <v>3.36365287367413E-3</v>
      </c>
      <c r="L132">
        <v>17.242268935772199</v>
      </c>
      <c r="N132">
        <v>910</v>
      </c>
      <c r="O132" s="2" t="s">
        <v>265</v>
      </c>
      <c r="P132">
        <v>1</v>
      </c>
      <c r="Q132">
        <v>17161562125000</v>
      </c>
      <c r="R132">
        <v>6370617458</v>
      </c>
      <c r="S132">
        <v>1134447406.77</v>
      </c>
      <c r="T132">
        <v>428284033</v>
      </c>
      <c r="U132">
        <v>3.7121431088838001E-4</v>
      </c>
      <c r="V132" s="1">
        <v>6.6103971101640006E-5</v>
      </c>
      <c r="W132">
        <v>40070.515832188401</v>
      </c>
      <c r="X132">
        <v>1.5072313684309901E-2</v>
      </c>
      <c r="Y132">
        <v>-24.436066181794601</v>
      </c>
      <c r="BC132">
        <v>905</v>
      </c>
      <c r="BD132" t="s">
        <v>221</v>
      </c>
      <c r="BE132">
        <v>3</v>
      </c>
      <c r="BF132">
        <v>194249888.40000001</v>
      </c>
      <c r="BG132">
        <v>263476019</v>
      </c>
      <c r="BH132">
        <v>26380437.75</v>
      </c>
      <c r="BI132">
        <v>6587732</v>
      </c>
      <c r="BJ132">
        <v>1.3563766814498699</v>
      </c>
      <c r="BK132">
        <v>0.135806707366942</v>
      </c>
      <c r="BL132">
        <v>29.486610627147499</v>
      </c>
      <c r="BM132">
        <v>2.8608417907529499E-3</v>
      </c>
      <c r="BN132">
        <v>-56.088565665853402</v>
      </c>
    </row>
    <row r="133" spans="1:66" x14ac:dyDescent="0.4">
      <c r="A133">
        <v>324</v>
      </c>
      <c r="B133" t="s">
        <v>161</v>
      </c>
      <c r="C133">
        <v>1</v>
      </c>
      <c r="D133">
        <v>4565269150000</v>
      </c>
      <c r="E133">
        <v>3408732262</v>
      </c>
      <c r="F133">
        <v>705045768.53999996</v>
      </c>
      <c r="G133">
        <v>116440114</v>
      </c>
      <c r="H133">
        <v>7.4666622054474002E-4</v>
      </c>
      <c r="I133">
        <v>1.5443684597215901E-4</v>
      </c>
      <c r="J133">
        <v>39207.013744421398</v>
      </c>
      <c r="K133">
        <v>3.97081795759586E-3</v>
      </c>
      <c r="L133">
        <v>15.8693818895802</v>
      </c>
      <c r="N133">
        <v>1011</v>
      </c>
      <c r="O133" t="s">
        <v>254</v>
      </c>
      <c r="P133">
        <v>1</v>
      </c>
      <c r="Q133">
        <v>1823800000000</v>
      </c>
      <c r="R133">
        <v>593494933</v>
      </c>
      <c r="S133">
        <v>116031652.09</v>
      </c>
      <c r="T133">
        <v>20680000</v>
      </c>
      <c r="U133">
        <v>3.2541667562232699E-4</v>
      </c>
      <c r="V133" s="1">
        <v>6.3620820314727499E-5</v>
      </c>
      <c r="W133">
        <v>88191.489361702101</v>
      </c>
      <c r="X133">
        <v>1.60177060207125E-3</v>
      </c>
      <c r="Y133">
        <v>-24.98617864157</v>
      </c>
    </row>
    <row r="134" spans="1:66" x14ac:dyDescent="0.4">
      <c r="A134">
        <v>384</v>
      </c>
      <c r="B134" t="s">
        <v>193</v>
      </c>
      <c r="C134">
        <v>1</v>
      </c>
      <c r="D134">
        <v>4828560000000</v>
      </c>
      <c r="E134">
        <v>4288426206.1399999</v>
      </c>
      <c r="F134">
        <v>491961820.27999997</v>
      </c>
      <c r="G134">
        <v>98112427</v>
      </c>
      <c r="H134">
        <v>8.8813770692297404E-4</v>
      </c>
      <c r="I134">
        <v>1.0188582523153901E-4</v>
      </c>
      <c r="J134">
        <v>49214.560760993103</v>
      </c>
      <c r="K134">
        <v>4.1998252736816302E-3</v>
      </c>
      <c r="L134">
        <v>15.4306559687983</v>
      </c>
      <c r="N134">
        <v>1009</v>
      </c>
      <c r="O134" t="s">
        <v>197</v>
      </c>
      <c r="P134">
        <v>1</v>
      </c>
      <c r="Q134">
        <v>1771201898100</v>
      </c>
      <c r="R134">
        <v>426406201</v>
      </c>
      <c r="S134">
        <v>81062389.340000004</v>
      </c>
      <c r="T134">
        <v>7406460</v>
      </c>
      <c r="U134">
        <v>2.40743983764591E-4</v>
      </c>
      <c r="V134" s="1">
        <v>4.5766882604945803E-5</v>
      </c>
      <c r="W134">
        <v>239142.84261307001</v>
      </c>
      <c r="X134">
        <v>1.5555757926907501E-3</v>
      </c>
      <c r="Y134">
        <v>-25.354462716848701</v>
      </c>
    </row>
    <row r="135" spans="1:66" x14ac:dyDescent="0.4">
      <c r="A135">
        <v>1028</v>
      </c>
      <c r="B135" t="s">
        <v>97</v>
      </c>
      <c r="C135">
        <v>1</v>
      </c>
      <c r="D135">
        <v>5002732800000</v>
      </c>
      <c r="E135">
        <v>10221942955</v>
      </c>
      <c r="F135">
        <v>480697916.67000002</v>
      </c>
      <c r="G135">
        <v>135250245</v>
      </c>
      <c r="H135">
        <v>2.0432718203538601E-3</v>
      </c>
      <c r="I135" s="1">
        <v>9.6087065987214001E-5</v>
      </c>
      <c r="J135">
        <v>36988.7152514954</v>
      </c>
      <c r="K135">
        <v>4.3513187473938602E-3</v>
      </c>
      <c r="L135">
        <v>15.1596631415422</v>
      </c>
      <c r="N135">
        <v>1137</v>
      </c>
      <c r="O135" t="s">
        <v>248</v>
      </c>
      <c r="P135">
        <v>2</v>
      </c>
      <c r="Q135">
        <v>1464000000000</v>
      </c>
      <c r="R135">
        <v>623424303</v>
      </c>
      <c r="S135">
        <v>101663311.34</v>
      </c>
      <c r="T135">
        <v>18000000</v>
      </c>
      <c r="U135">
        <v>4.2583627254098302E-4</v>
      </c>
      <c r="V135" s="1">
        <v>6.9442152554644796E-5</v>
      </c>
      <c r="W135">
        <v>81333.333333333299</v>
      </c>
      <c r="X135">
        <v>1.28577265129527E-3</v>
      </c>
      <c r="Y135">
        <v>-27.888034563353902</v>
      </c>
    </row>
    <row r="136" spans="1:66" x14ac:dyDescent="0.4">
      <c r="A136">
        <v>1051</v>
      </c>
      <c r="B136" t="s">
        <v>163</v>
      </c>
      <c r="C136">
        <v>1</v>
      </c>
      <c r="D136">
        <v>5016706914000</v>
      </c>
      <c r="E136">
        <v>3263226247</v>
      </c>
      <c r="F136">
        <v>475847357.56</v>
      </c>
      <c r="G136">
        <v>32002270</v>
      </c>
      <c r="H136">
        <v>6.50471774201796E-4</v>
      </c>
      <c r="I136" s="1">
        <v>9.4852532890064695E-5</v>
      </c>
      <c r="J136">
        <v>156760.97083113101</v>
      </c>
      <c r="K136">
        <v>4.3634732690637796E-3</v>
      </c>
      <c r="L136">
        <v>15.138534680852599</v>
      </c>
      <c r="N136">
        <v>707</v>
      </c>
      <c r="O136" t="s">
        <v>188</v>
      </c>
      <c r="P136">
        <v>2</v>
      </c>
      <c r="Q136">
        <v>1437012529200</v>
      </c>
      <c r="R136">
        <v>241988795</v>
      </c>
      <c r="S136">
        <v>100187500</v>
      </c>
      <c r="T136">
        <v>6019889</v>
      </c>
      <c r="U136">
        <v>1.6839713647779901E-4</v>
      </c>
      <c r="V136" s="1">
        <v>6.9719294692423704E-5</v>
      </c>
      <c r="W136">
        <v>238710.80167757199</v>
      </c>
      <c r="X136">
        <v>1.2620706349822401E-3</v>
      </c>
      <c r="Y136">
        <v>-28.148688755553199</v>
      </c>
    </row>
    <row r="137" spans="1:66" x14ac:dyDescent="0.4">
      <c r="A137">
        <v>1008</v>
      </c>
      <c r="B137" t="s">
        <v>99</v>
      </c>
      <c r="C137">
        <v>1</v>
      </c>
      <c r="D137">
        <v>5031478324400</v>
      </c>
      <c r="E137">
        <v>6530126000</v>
      </c>
      <c r="F137">
        <v>823546623.80999994</v>
      </c>
      <c r="G137">
        <v>139343243</v>
      </c>
      <c r="H137">
        <v>1.2978543439872E-3</v>
      </c>
      <c r="I137">
        <v>1.6367885752706799E-4</v>
      </c>
      <c r="J137">
        <v>36108.520342102202</v>
      </c>
      <c r="K137">
        <v>4.3763212698602599E-3</v>
      </c>
      <c r="L137">
        <v>15.116296497600301</v>
      </c>
      <c r="N137">
        <v>1125</v>
      </c>
      <c r="O137" t="s">
        <v>253</v>
      </c>
      <c r="P137">
        <v>1</v>
      </c>
      <c r="Q137">
        <v>1396978800000</v>
      </c>
      <c r="R137">
        <v>530958477</v>
      </c>
      <c r="S137">
        <v>90756250</v>
      </c>
      <c r="T137">
        <v>17215498</v>
      </c>
      <c r="U137">
        <v>3.8007625956814798E-4</v>
      </c>
      <c r="V137" s="1">
        <v>6.4966089678669399E-5</v>
      </c>
      <c r="W137">
        <v>81146.580830830397</v>
      </c>
      <c r="X137">
        <v>1.2269106116661801E-3</v>
      </c>
      <c r="Y137">
        <v>-28.549173415677</v>
      </c>
    </row>
    <row r="138" spans="1:66" x14ac:dyDescent="0.4">
      <c r="A138">
        <v>901</v>
      </c>
      <c r="B138" t="s">
        <v>203</v>
      </c>
      <c r="C138">
        <v>1</v>
      </c>
      <c r="D138">
        <v>5130183491750</v>
      </c>
      <c r="E138">
        <v>4579168000</v>
      </c>
      <c r="F138">
        <v>456186761.50999999</v>
      </c>
      <c r="G138">
        <v>109152840</v>
      </c>
      <c r="H138">
        <v>8.9259341451702304E-4</v>
      </c>
      <c r="I138" s="1">
        <v>8.8922114042042994E-5</v>
      </c>
      <c r="J138">
        <v>47000.000107647204</v>
      </c>
      <c r="K138">
        <v>4.4621738752911701E-3</v>
      </c>
      <c r="L138">
        <v>14.9701708000749</v>
      </c>
      <c r="N138">
        <v>958</v>
      </c>
      <c r="O138" t="s">
        <v>220</v>
      </c>
      <c r="P138">
        <v>2</v>
      </c>
      <c r="Q138">
        <v>1114113000000</v>
      </c>
      <c r="R138">
        <v>437992235</v>
      </c>
      <c r="S138">
        <v>70364901.719999999</v>
      </c>
      <c r="T138">
        <v>7608701</v>
      </c>
      <c r="U138">
        <v>3.9313088977509399E-4</v>
      </c>
      <c r="V138" s="1">
        <v>6.3157778178694597E-5</v>
      </c>
      <c r="W138">
        <v>146426.17708331501</v>
      </c>
      <c r="X138">
        <v>9.7848089197577308E-4</v>
      </c>
      <c r="Y138">
        <v>-31.968615298173699</v>
      </c>
    </row>
    <row r="139" spans="1:66" x14ac:dyDescent="0.4">
      <c r="A139">
        <v>73</v>
      </c>
      <c r="B139" t="s">
        <v>101</v>
      </c>
      <c r="C139">
        <v>1</v>
      </c>
      <c r="D139">
        <v>5608537601800</v>
      </c>
      <c r="E139">
        <v>3679353019</v>
      </c>
      <c r="F139">
        <v>835693055.55999994</v>
      </c>
      <c r="G139">
        <v>35318944</v>
      </c>
      <c r="H139">
        <v>6.5602716433944396E-4</v>
      </c>
      <c r="I139">
        <v>1.4900373589218501E-4</v>
      </c>
      <c r="J139">
        <v>158796.86555181199</v>
      </c>
      <c r="K139">
        <v>4.87824071119204E-3</v>
      </c>
      <c r="L139">
        <v>14.3175393985663</v>
      </c>
      <c r="N139">
        <v>568</v>
      </c>
      <c r="O139" s="2" t="s">
        <v>241</v>
      </c>
      <c r="P139">
        <v>1</v>
      </c>
      <c r="Q139">
        <v>9076470000000</v>
      </c>
      <c r="R139">
        <v>5192604414</v>
      </c>
      <c r="S139">
        <v>708100907.44000006</v>
      </c>
      <c r="T139">
        <v>150231040</v>
      </c>
      <c r="U139">
        <v>5.7209514425762397E-4</v>
      </c>
      <c r="V139" s="1">
        <v>7.8015011060467298E-5</v>
      </c>
      <c r="W139">
        <v>60416.742106025398</v>
      </c>
      <c r="X139">
        <v>7.9715006122281495E-3</v>
      </c>
      <c r="Y139">
        <v>-33.600923419860997</v>
      </c>
    </row>
    <row r="140" spans="1:66" x14ac:dyDescent="0.4">
      <c r="A140">
        <v>419</v>
      </c>
      <c r="B140" t="s">
        <v>158</v>
      </c>
      <c r="C140">
        <v>1</v>
      </c>
      <c r="D140">
        <v>6680833573600</v>
      </c>
      <c r="E140">
        <v>10949600986</v>
      </c>
      <c r="F140">
        <v>308329940.22000003</v>
      </c>
      <c r="G140">
        <v>68728639</v>
      </c>
      <c r="H140">
        <v>1.6389573045597801E-3</v>
      </c>
      <c r="I140" s="1">
        <v>4.61514176072874E-5</v>
      </c>
      <c r="J140">
        <v>97205.963493617193</v>
      </c>
      <c r="K140">
        <v>5.81091126374449E-3</v>
      </c>
      <c r="L140">
        <v>13.1183096583473</v>
      </c>
      <c r="N140">
        <v>1124</v>
      </c>
      <c r="O140" t="s">
        <v>234</v>
      </c>
      <c r="P140">
        <v>2</v>
      </c>
      <c r="Q140">
        <v>950314050000</v>
      </c>
      <c r="R140">
        <v>321412295</v>
      </c>
      <c r="S140">
        <v>39758333.329999998</v>
      </c>
      <c r="T140">
        <v>5642233</v>
      </c>
      <c r="U140">
        <v>3.3821692418416801E-4</v>
      </c>
      <c r="V140" s="1">
        <v>4.1837046742600499E-5</v>
      </c>
      <c r="W140">
        <v>168428.714305134</v>
      </c>
      <c r="X140">
        <v>8.3462282488500604E-4</v>
      </c>
      <c r="Y140">
        <v>-34.614245637090001</v>
      </c>
    </row>
    <row r="141" spans="1:66" x14ac:dyDescent="0.4">
      <c r="A141">
        <v>1026</v>
      </c>
      <c r="B141" t="s">
        <v>240</v>
      </c>
      <c r="C141">
        <v>1</v>
      </c>
      <c r="D141">
        <v>6787500000000</v>
      </c>
      <c r="E141">
        <v>3250107537</v>
      </c>
      <c r="F141">
        <v>594099401.78999996</v>
      </c>
      <c r="G141">
        <v>112500000</v>
      </c>
      <c r="H141">
        <v>4.7883720618784498E-4</v>
      </c>
      <c r="I141" s="1">
        <v>8.7528456985635293E-5</v>
      </c>
      <c r="J141">
        <v>60333.333333333299</v>
      </c>
      <c r="K141">
        <v>5.9036884796117503E-3</v>
      </c>
      <c r="L141">
        <v>13.0148235208966</v>
      </c>
      <c r="N141">
        <v>986</v>
      </c>
      <c r="O141" t="s">
        <v>245</v>
      </c>
      <c r="P141">
        <v>2</v>
      </c>
      <c r="Q141">
        <v>939671232500</v>
      </c>
      <c r="R141">
        <v>477399260</v>
      </c>
      <c r="S141">
        <v>35700577.25</v>
      </c>
      <c r="T141">
        <v>7224609</v>
      </c>
      <c r="U141">
        <v>5.0804924476604099E-4</v>
      </c>
      <c r="V141" s="1">
        <v>3.7992625521820401E-5</v>
      </c>
      <c r="W141">
        <v>130065.34090633799</v>
      </c>
      <c r="X141">
        <v>8.2527566390534302E-4</v>
      </c>
      <c r="Y141">
        <v>-34.809716051245303</v>
      </c>
    </row>
    <row r="142" spans="1:66" x14ac:dyDescent="0.4">
      <c r="A142">
        <v>568</v>
      </c>
      <c r="B142" t="s">
        <v>241</v>
      </c>
      <c r="C142">
        <v>1</v>
      </c>
      <c r="D142">
        <v>9076470000000</v>
      </c>
      <c r="E142">
        <v>5192604414</v>
      </c>
      <c r="F142">
        <v>708100907.44000006</v>
      </c>
      <c r="G142">
        <v>150231040</v>
      </c>
      <c r="H142">
        <v>5.7209514425762397E-4</v>
      </c>
      <c r="I142" s="1">
        <v>7.8015011060467298E-5</v>
      </c>
      <c r="J142">
        <v>60416.742106025398</v>
      </c>
      <c r="K142">
        <v>7.8946079373173692E-3</v>
      </c>
      <c r="L142">
        <v>11.254720560997701</v>
      </c>
      <c r="N142">
        <v>922</v>
      </c>
      <c r="O142" t="s">
        <v>266</v>
      </c>
      <c r="P142">
        <v>1</v>
      </c>
      <c r="Q142">
        <v>8407861650000</v>
      </c>
      <c r="R142">
        <v>3071861977</v>
      </c>
      <c r="S142">
        <v>541725813.75</v>
      </c>
      <c r="T142">
        <v>198684218</v>
      </c>
      <c r="U142">
        <v>3.6535591389042399E-4</v>
      </c>
      <c r="V142" s="1">
        <v>6.4430866765035307E-5</v>
      </c>
      <c r="W142">
        <v>42317.712673082002</v>
      </c>
      <c r="X142">
        <v>7.3842886375985999E-3</v>
      </c>
      <c r="Y142">
        <v>-34.911372479572996</v>
      </c>
    </row>
    <row r="143" spans="1:66" x14ac:dyDescent="0.4">
      <c r="A143">
        <v>914</v>
      </c>
      <c r="B143" t="s">
        <v>179</v>
      </c>
      <c r="C143">
        <v>1</v>
      </c>
      <c r="D143">
        <v>10054621170000</v>
      </c>
      <c r="E143">
        <v>11869029000</v>
      </c>
      <c r="F143">
        <v>884484982.82000005</v>
      </c>
      <c r="G143">
        <v>178907850</v>
      </c>
      <c r="H143">
        <v>1.18045511604292E-3</v>
      </c>
      <c r="I143" s="1">
        <v>8.7968006736945998E-5</v>
      </c>
      <c r="J143">
        <v>56200</v>
      </c>
      <c r="K143">
        <v>8.7453924373023101E-3</v>
      </c>
      <c r="L143">
        <v>10.693265469578099</v>
      </c>
      <c r="N143">
        <v>1119</v>
      </c>
      <c r="O143" t="s">
        <v>239</v>
      </c>
      <c r="P143">
        <v>2</v>
      </c>
      <c r="Q143">
        <v>920381612000</v>
      </c>
      <c r="R143">
        <v>581855572</v>
      </c>
      <c r="S143">
        <v>39315472.990000002</v>
      </c>
      <c r="T143">
        <v>8031327</v>
      </c>
      <c r="U143">
        <v>6.3218947924830902E-4</v>
      </c>
      <c r="V143" s="1">
        <v>4.2716491156931101E-5</v>
      </c>
      <c r="W143">
        <v>114598.94635095701</v>
      </c>
      <c r="X143">
        <v>8.0833436165618695E-4</v>
      </c>
      <c r="Y143">
        <v>-35.172600533193197</v>
      </c>
    </row>
    <row r="144" spans="1:66" x14ac:dyDescent="0.4">
      <c r="A144">
        <v>246</v>
      </c>
      <c r="B144" t="s">
        <v>157</v>
      </c>
      <c r="C144">
        <v>1</v>
      </c>
      <c r="D144">
        <v>11300845334250</v>
      </c>
      <c r="E144">
        <v>13387594000</v>
      </c>
      <c r="F144">
        <v>1295227569.1400001</v>
      </c>
      <c r="G144">
        <v>224202345</v>
      </c>
      <c r="H144">
        <v>1.18465420984265E-3</v>
      </c>
      <c r="I144">
        <v>1.14613334740056E-4</v>
      </c>
      <c r="J144">
        <v>50404.670541024003</v>
      </c>
      <c r="K144">
        <v>9.8293437067677198E-3</v>
      </c>
      <c r="L144">
        <v>10.086436047677299</v>
      </c>
      <c r="N144">
        <v>800</v>
      </c>
      <c r="O144" t="s">
        <v>247</v>
      </c>
      <c r="P144">
        <v>2</v>
      </c>
      <c r="Q144">
        <v>835976867200</v>
      </c>
      <c r="R144">
        <v>637284880</v>
      </c>
      <c r="S144">
        <v>49793269.75</v>
      </c>
      <c r="T144">
        <v>18047921</v>
      </c>
      <c r="U144">
        <v>7.6232358215186705E-4</v>
      </c>
      <c r="V144" s="1">
        <v>5.9562975608136497E-5</v>
      </c>
      <c r="W144">
        <v>46319.843000199297</v>
      </c>
      <c r="X144">
        <v>7.3420504983692705E-4</v>
      </c>
      <c r="Y144">
        <v>-36.905518933497603</v>
      </c>
    </row>
    <row r="145" spans="1:25" x14ac:dyDescent="0.4">
      <c r="A145">
        <v>57</v>
      </c>
      <c r="B145" t="s">
        <v>216</v>
      </c>
      <c r="C145">
        <v>1</v>
      </c>
      <c r="D145">
        <v>13825402941500</v>
      </c>
      <c r="E145">
        <v>11425577365.049999</v>
      </c>
      <c r="F145">
        <v>985971579.64999998</v>
      </c>
      <c r="G145">
        <v>207624727</v>
      </c>
      <c r="H145">
        <v>8.2641912235003299E-4</v>
      </c>
      <c r="I145" s="1">
        <v>7.1315938046940204E-5</v>
      </c>
      <c r="J145">
        <v>66588.422011507297</v>
      </c>
      <c r="K145">
        <v>1.20251745225376E-2</v>
      </c>
      <c r="L145">
        <v>9.1191488774796099</v>
      </c>
      <c r="N145">
        <v>273</v>
      </c>
      <c r="O145" t="s">
        <v>170</v>
      </c>
      <c r="P145">
        <v>2</v>
      </c>
      <c r="Q145">
        <v>811410000000</v>
      </c>
      <c r="R145">
        <v>1095866163</v>
      </c>
      <c r="S145">
        <v>58958333.329999998</v>
      </c>
      <c r="T145">
        <v>12735000</v>
      </c>
      <c r="U145">
        <v>1.35057019632491E-3</v>
      </c>
      <c r="V145" s="1">
        <v>7.2661580865407099E-5</v>
      </c>
      <c r="W145">
        <v>63714.958775029401</v>
      </c>
      <c r="X145">
        <v>7.1262895286031299E-4</v>
      </c>
      <c r="Y145">
        <v>-37.460042736172497</v>
      </c>
    </row>
    <row r="146" spans="1:25" x14ac:dyDescent="0.4">
      <c r="A146">
        <v>1070</v>
      </c>
      <c r="B146" t="s">
        <v>61</v>
      </c>
      <c r="C146">
        <v>1</v>
      </c>
      <c r="D146">
        <v>14623411580050</v>
      </c>
      <c r="E146">
        <v>29342327000</v>
      </c>
      <c r="F146">
        <v>2013229721.22</v>
      </c>
      <c r="G146">
        <v>378624659</v>
      </c>
      <c r="H146">
        <v>2.0065308864061701E-3</v>
      </c>
      <c r="I146">
        <v>1.3767168558440499E-4</v>
      </c>
      <c r="J146">
        <v>38622.4489938728</v>
      </c>
      <c r="K146">
        <v>1.27192731458949E-2</v>
      </c>
      <c r="L146">
        <v>8.8668396174840201</v>
      </c>
      <c r="N146">
        <v>960</v>
      </c>
      <c r="O146" t="s">
        <v>213</v>
      </c>
      <c r="P146">
        <v>2</v>
      </c>
      <c r="Q146">
        <v>765151456000</v>
      </c>
      <c r="R146">
        <v>513466909</v>
      </c>
      <c r="S146">
        <v>76485501.409999996</v>
      </c>
      <c r="T146">
        <v>16647174</v>
      </c>
      <c r="U146">
        <v>6.71065715125555E-4</v>
      </c>
      <c r="V146" s="1">
        <v>9.9961257095222702E-5</v>
      </c>
      <c r="W146">
        <v>45962.843663435</v>
      </c>
      <c r="X146">
        <v>6.7200192364997202E-4</v>
      </c>
      <c r="Y146">
        <v>-38.575782277539702</v>
      </c>
    </row>
    <row r="147" spans="1:25" x14ac:dyDescent="0.4">
      <c r="A147">
        <v>1049</v>
      </c>
      <c r="B147" t="s">
        <v>152</v>
      </c>
      <c r="C147">
        <v>1</v>
      </c>
      <c r="D147">
        <v>15049791574400</v>
      </c>
      <c r="E147">
        <v>16564065033</v>
      </c>
      <c r="F147">
        <v>2056659396.45</v>
      </c>
      <c r="G147">
        <v>441333115</v>
      </c>
      <c r="H147">
        <v>1.1006175700915199E-3</v>
      </c>
      <c r="I147">
        <v>1.3665700194469201E-4</v>
      </c>
      <c r="J147">
        <v>34100.753065855897</v>
      </c>
      <c r="K147">
        <v>1.3090133501044999E-2</v>
      </c>
      <c r="L147">
        <v>8.7403326554182001</v>
      </c>
      <c r="N147">
        <v>793</v>
      </c>
      <c r="O147" t="s">
        <v>270</v>
      </c>
      <c r="P147">
        <v>1</v>
      </c>
      <c r="Q147">
        <v>6619120000000</v>
      </c>
      <c r="R147">
        <v>1750448143</v>
      </c>
      <c r="S147">
        <v>358866673.66000003</v>
      </c>
      <c r="T147">
        <v>156937200</v>
      </c>
      <c r="U147">
        <v>2.6445330240273599E-4</v>
      </c>
      <c r="V147" s="1">
        <v>5.4216674370611203E-5</v>
      </c>
      <c r="W147">
        <v>42176.870748299298</v>
      </c>
      <c r="X147">
        <v>5.81330838226883E-3</v>
      </c>
      <c r="Y147">
        <v>-39.346814133183699</v>
      </c>
    </row>
    <row r="148" spans="1:25" x14ac:dyDescent="0.4">
      <c r="A148">
        <v>23</v>
      </c>
      <c r="B148" t="s">
        <v>59</v>
      </c>
      <c r="C148">
        <v>1</v>
      </c>
      <c r="D148">
        <v>17086065076050</v>
      </c>
      <c r="E148">
        <v>25266207000</v>
      </c>
      <c r="F148">
        <v>3178486034.73</v>
      </c>
      <c r="G148">
        <v>441025000</v>
      </c>
      <c r="H148">
        <v>1.47876101885016E-3</v>
      </c>
      <c r="I148">
        <v>1.86027971951562E-4</v>
      </c>
      <c r="J148">
        <v>38741.715494699798</v>
      </c>
      <c r="K148">
        <v>1.4861260486390099E-2</v>
      </c>
      <c r="L148">
        <v>8.2029898985485392</v>
      </c>
      <c r="N148">
        <v>1083</v>
      </c>
      <c r="O148" t="s">
        <v>222</v>
      </c>
      <c r="P148">
        <v>2</v>
      </c>
      <c r="Q148">
        <v>682000000000</v>
      </c>
      <c r="R148">
        <v>641181248</v>
      </c>
      <c r="S148">
        <v>41057000</v>
      </c>
      <c r="T148">
        <v>10837320</v>
      </c>
      <c r="U148">
        <v>9.4014845747800505E-4</v>
      </c>
      <c r="V148" s="1">
        <v>6.0200879765395801E-5</v>
      </c>
      <c r="W148">
        <v>62930.687660786898</v>
      </c>
      <c r="X148">
        <v>5.9897332526186902E-4</v>
      </c>
      <c r="Y148">
        <v>-40.8598021191466</v>
      </c>
    </row>
    <row r="149" spans="1:25" x14ac:dyDescent="0.4">
      <c r="A149">
        <v>957</v>
      </c>
      <c r="B149" t="s">
        <v>208</v>
      </c>
      <c r="C149">
        <v>1</v>
      </c>
      <c r="D149">
        <v>17259428154500</v>
      </c>
      <c r="E149">
        <v>13382959000</v>
      </c>
      <c r="F149">
        <v>1541620454.2</v>
      </c>
      <c r="G149">
        <v>296600873</v>
      </c>
      <c r="H149">
        <v>7.7539990781853895E-4</v>
      </c>
      <c r="I149" s="1">
        <v>8.9320482718198101E-5</v>
      </c>
      <c r="J149">
        <v>58190.753047783503</v>
      </c>
      <c r="K149">
        <v>1.50120496737249E-2</v>
      </c>
      <c r="L149">
        <v>8.1616882780049895</v>
      </c>
      <c r="N149">
        <v>911</v>
      </c>
      <c r="O149" t="s">
        <v>219</v>
      </c>
      <c r="P149">
        <v>2</v>
      </c>
      <c r="Q149">
        <v>681150000000</v>
      </c>
      <c r="R149">
        <v>444572034</v>
      </c>
      <c r="S149">
        <v>45425000</v>
      </c>
      <c r="T149">
        <v>6884771</v>
      </c>
      <c r="U149">
        <v>6.5267860823607095E-4</v>
      </c>
      <c r="V149" s="1">
        <v>6.6688688247816197E-5</v>
      </c>
      <c r="W149">
        <v>98935.7525471798</v>
      </c>
      <c r="X149">
        <v>5.9822680425531099E-4</v>
      </c>
      <c r="Y149">
        <v>-40.885288431629597</v>
      </c>
    </row>
    <row r="150" spans="1:25" x14ac:dyDescent="0.4">
      <c r="A150">
        <v>962</v>
      </c>
      <c r="B150" t="s">
        <v>105</v>
      </c>
      <c r="C150">
        <v>1</v>
      </c>
      <c r="D150">
        <v>19039113418050</v>
      </c>
      <c r="E150">
        <v>30467514000</v>
      </c>
      <c r="F150">
        <v>2518817736.4099998</v>
      </c>
      <c r="G150">
        <v>569039504</v>
      </c>
      <c r="H150">
        <v>1.6002590735719501E-3</v>
      </c>
      <c r="I150">
        <v>1.32297007801951E-4</v>
      </c>
      <c r="J150">
        <v>33458.333356852498</v>
      </c>
      <c r="K150">
        <v>1.6559999196782801E-2</v>
      </c>
      <c r="L150">
        <v>7.7708735904597201</v>
      </c>
      <c r="N150">
        <v>655</v>
      </c>
      <c r="O150" t="s">
        <v>263</v>
      </c>
      <c r="P150">
        <v>2</v>
      </c>
      <c r="Q150">
        <v>643897590000</v>
      </c>
      <c r="R150">
        <v>138279817</v>
      </c>
      <c r="S150">
        <v>33900000</v>
      </c>
      <c r="T150">
        <v>6527968</v>
      </c>
      <c r="U150">
        <v>2.14754363345264E-4</v>
      </c>
      <c r="V150" s="1">
        <v>5.2648123748995502E-5</v>
      </c>
      <c r="W150">
        <v>98636.7564914533</v>
      </c>
      <c r="X150">
        <v>5.6550950236129596E-4</v>
      </c>
      <c r="Y150">
        <v>-42.051360050255397</v>
      </c>
    </row>
    <row r="151" spans="1:25" x14ac:dyDescent="0.4">
      <c r="A151">
        <v>364</v>
      </c>
      <c r="B151" t="s">
        <v>100</v>
      </c>
      <c r="C151">
        <v>1</v>
      </c>
      <c r="D151">
        <v>19791411545000</v>
      </c>
      <c r="E151">
        <v>41500566100</v>
      </c>
      <c r="F151">
        <v>1785501474.24</v>
      </c>
      <c r="G151">
        <v>599968175</v>
      </c>
      <c r="H151">
        <v>2.0968977379728299E-3</v>
      </c>
      <c r="I151" s="1">
        <v>9.0215974246216906E-5</v>
      </c>
      <c r="J151">
        <v>32987.435616897499</v>
      </c>
      <c r="K151">
        <v>1.7214339349314399E-2</v>
      </c>
      <c r="L151">
        <v>7.6217521155559602</v>
      </c>
      <c r="N151">
        <v>896</v>
      </c>
      <c r="O151" t="s">
        <v>145</v>
      </c>
      <c r="P151">
        <v>2</v>
      </c>
      <c r="Q151">
        <v>596361920000</v>
      </c>
      <c r="R151">
        <v>292258864</v>
      </c>
      <c r="S151">
        <v>24305000</v>
      </c>
      <c r="T151">
        <v>1936146</v>
      </c>
      <c r="U151">
        <v>4.9006962751746398E-4</v>
      </c>
      <c r="V151" s="1">
        <v>4.0755452662034401E-5</v>
      </c>
      <c r="W151">
        <v>308014.95341776899</v>
      </c>
      <c r="X151">
        <v>5.2376082446034099E-4</v>
      </c>
      <c r="Y151">
        <v>-43.695176125179799</v>
      </c>
    </row>
    <row r="152" spans="1:25" x14ac:dyDescent="0.4">
      <c r="A152">
        <v>903</v>
      </c>
      <c r="B152" t="s">
        <v>176</v>
      </c>
      <c r="C152">
        <v>1</v>
      </c>
      <c r="D152">
        <v>21100000000000</v>
      </c>
      <c r="E152">
        <v>27530172000</v>
      </c>
      <c r="F152">
        <v>1580123117.9300001</v>
      </c>
      <c r="G152">
        <v>332793625</v>
      </c>
      <c r="H152">
        <v>1.3047474881516499E-3</v>
      </c>
      <c r="I152" s="1">
        <v>7.4887351560663505E-5</v>
      </c>
      <c r="J152">
        <v>63402.656826734499</v>
      </c>
      <c r="K152">
        <v>1.8352534352826199E-2</v>
      </c>
      <c r="L152">
        <v>7.3816249778378404</v>
      </c>
      <c r="N152">
        <v>347</v>
      </c>
      <c r="O152" t="s">
        <v>243</v>
      </c>
      <c r="P152">
        <v>2</v>
      </c>
      <c r="Q152">
        <v>586148839500</v>
      </c>
      <c r="R152">
        <v>510512092</v>
      </c>
      <c r="S152">
        <v>31737500</v>
      </c>
      <c r="T152">
        <v>11052251</v>
      </c>
      <c r="U152">
        <v>8.7095982726073402E-4</v>
      </c>
      <c r="V152" s="1">
        <v>5.4145803695649898E-5</v>
      </c>
      <c r="W152">
        <v>53034.3401991141</v>
      </c>
      <c r="X152">
        <v>5.1479108430161399E-4</v>
      </c>
      <c r="Y152">
        <v>-44.074205435972502</v>
      </c>
    </row>
    <row r="153" spans="1:25" x14ac:dyDescent="0.4">
      <c r="A153">
        <v>357</v>
      </c>
      <c r="B153" t="s">
        <v>48</v>
      </c>
      <c r="C153">
        <v>1</v>
      </c>
      <c r="D153">
        <v>36570999809500</v>
      </c>
      <c r="E153">
        <v>64228955000</v>
      </c>
      <c r="F153">
        <v>6806137767.8999996</v>
      </c>
      <c r="G153">
        <v>828254487</v>
      </c>
      <c r="H153">
        <v>1.75628107884858E-3</v>
      </c>
      <c r="I153">
        <v>1.8610751150784701E-4</v>
      </c>
      <c r="J153">
        <v>44154.303276958803</v>
      </c>
      <c r="K153">
        <v>3.1809029873035501E-2</v>
      </c>
      <c r="L153">
        <v>5.6069255309835597</v>
      </c>
      <c r="N153">
        <v>1140</v>
      </c>
      <c r="O153" t="s">
        <v>252</v>
      </c>
      <c r="P153">
        <v>2</v>
      </c>
      <c r="Q153">
        <v>553308000000</v>
      </c>
      <c r="R153">
        <v>119415519</v>
      </c>
      <c r="S153">
        <v>21025000</v>
      </c>
      <c r="T153">
        <v>3528000</v>
      </c>
      <c r="U153">
        <v>2.1582105987984901E-4</v>
      </c>
      <c r="V153" s="1">
        <v>3.7998727652591303E-5</v>
      </c>
      <c r="W153">
        <v>156833.33333333299</v>
      </c>
      <c r="X153">
        <v>4.8594828834896497E-4</v>
      </c>
      <c r="Y153">
        <v>-45.363334614639903</v>
      </c>
    </row>
    <row r="154" spans="1:25" x14ac:dyDescent="0.4">
      <c r="A154">
        <v>390</v>
      </c>
      <c r="B154" t="s">
        <v>192</v>
      </c>
      <c r="C154">
        <v>1</v>
      </c>
      <c r="D154">
        <v>253146621356000</v>
      </c>
      <c r="E154">
        <v>175638353000</v>
      </c>
      <c r="F154">
        <v>25091958719.27</v>
      </c>
      <c r="G154">
        <v>2671895561</v>
      </c>
      <c r="H154">
        <v>6.9382064852052596E-4</v>
      </c>
      <c r="I154" s="1">
        <v>9.9120259179691705E-5</v>
      </c>
      <c r="J154">
        <v>94744.205219329597</v>
      </c>
      <c r="K154">
        <v>0.22018398411080001</v>
      </c>
      <c r="L154">
        <v>2.1311162326841702</v>
      </c>
      <c r="N154">
        <v>440</v>
      </c>
      <c r="O154" t="s">
        <v>262</v>
      </c>
      <c r="P154">
        <v>1</v>
      </c>
      <c r="Q154">
        <v>3788400000000</v>
      </c>
      <c r="R154">
        <v>1795385648</v>
      </c>
      <c r="S154">
        <v>201097540.19</v>
      </c>
      <c r="T154">
        <v>65450000</v>
      </c>
      <c r="U154">
        <v>4.7391660014781898E-4</v>
      </c>
      <c r="V154" s="1">
        <v>5.3082446465526297E-5</v>
      </c>
      <c r="W154">
        <v>57882.352941176403</v>
      </c>
      <c r="X154">
        <v>3.3272002132288302E-3</v>
      </c>
      <c r="Y154">
        <v>-52.009393234472199</v>
      </c>
    </row>
    <row r="155" spans="1:25" x14ac:dyDescent="0.4">
      <c r="A155">
        <v>590</v>
      </c>
      <c r="B155" t="s">
        <v>174</v>
      </c>
      <c r="C155">
        <v>1</v>
      </c>
      <c r="D155">
        <v>9348449758200</v>
      </c>
      <c r="E155">
        <v>6115314000</v>
      </c>
      <c r="F155">
        <v>1351297955.22</v>
      </c>
      <c r="G155">
        <v>202649026</v>
      </c>
      <c r="H155">
        <v>6.5415273742429304E-4</v>
      </c>
      <c r="I155">
        <v>1.44547811687676E-4</v>
      </c>
      <c r="J155">
        <v>46131.234591771397</v>
      </c>
      <c r="K155">
        <v>8.1311727645988294E-3</v>
      </c>
      <c r="L155">
        <v>-11.0897921288419</v>
      </c>
      <c r="N155">
        <v>1010</v>
      </c>
      <c r="O155" t="s">
        <v>87</v>
      </c>
      <c r="P155">
        <v>2</v>
      </c>
      <c r="Q155">
        <v>419458095000</v>
      </c>
      <c r="R155">
        <v>256074772</v>
      </c>
      <c r="S155">
        <v>31400000</v>
      </c>
      <c r="T155">
        <v>1347246</v>
      </c>
      <c r="U155">
        <v>6.1048952220125801E-4</v>
      </c>
      <c r="V155" s="1">
        <v>7.4858490929826895E-5</v>
      </c>
      <c r="W155">
        <v>311344.84348069999</v>
      </c>
      <c r="X155">
        <v>3.6839326975096598E-4</v>
      </c>
      <c r="Y155">
        <v>-52.100771739416899</v>
      </c>
    </row>
    <row r="156" spans="1:25" x14ac:dyDescent="0.4">
      <c r="A156">
        <v>927</v>
      </c>
      <c r="B156" t="s">
        <v>257</v>
      </c>
      <c r="C156">
        <v>1</v>
      </c>
      <c r="D156">
        <v>6480026001000</v>
      </c>
      <c r="E156">
        <v>1709092019</v>
      </c>
      <c r="F156">
        <v>341344082.16000003</v>
      </c>
      <c r="G156">
        <v>60064361</v>
      </c>
      <c r="H156">
        <v>2.6374771007651001E-4</v>
      </c>
      <c r="I156" s="1">
        <v>5.2676344525056401E-5</v>
      </c>
      <c r="J156">
        <v>107884.70722264001</v>
      </c>
      <c r="K156">
        <v>5.63625117490803E-3</v>
      </c>
      <c r="L156">
        <v>-13.320018578408501</v>
      </c>
      <c r="N156">
        <v>478</v>
      </c>
      <c r="O156" t="s">
        <v>198</v>
      </c>
      <c r="P156">
        <v>2</v>
      </c>
      <c r="Q156">
        <v>376219473000</v>
      </c>
      <c r="R156">
        <v>456315061</v>
      </c>
      <c r="S156">
        <v>27925000</v>
      </c>
      <c r="T156">
        <v>12493527</v>
      </c>
      <c r="U156">
        <v>1.2128959124877599E-3</v>
      </c>
      <c r="V156" s="1">
        <v>7.42252913633739E-5</v>
      </c>
      <c r="W156">
        <v>30113.1516344423</v>
      </c>
      <c r="X156">
        <v>3.3041851725964502E-4</v>
      </c>
      <c r="Y156">
        <v>-55.013314428648897</v>
      </c>
    </row>
    <row r="157" spans="1:25" x14ac:dyDescent="0.4">
      <c r="A157">
        <v>886</v>
      </c>
      <c r="B157" t="s">
        <v>217</v>
      </c>
      <c r="C157">
        <v>1</v>
      </c>
      <c r="D157">
        <v>5804530439100</v>
      </c>
      <c r="E157">
        <v>6650265791</v>
      </c>
      <c r="F157">
        <v>352339212.5</v>
      </c>
      <c r="G157">
        <v>173101043</v>
      </c>
      <c r="H157">
        <v>1.1457026301736699E-3</v>
      </c>
      <c r="I157" s="1">
        <v>6.0700726130506802E-5</v>
      </c>
      <c r="J157">
        <v>33532.613891298097</v>
      </c>
      <c r="K157">
        <v>5.0487129993179204E-3</v>
      </c>
      <c r="L157">
        <v>-14.0737443671576</v>
      </c>
      <c r="N157">
        <v>954</v>
      </c>
      <c r="O157" t="s">
        <v>269</v>
      </c>
      <c r="P157">
        <v>1</v>
      </c>
      <c r="Q157">
        <v>2601000000000</v>
      </c>
      <c r="R157">
        <v>748899609</v>
      </c>
      <c r="S157">
        <v>155897377.16</v>
      </c>
      <c r="T157">
        <v>76050000</v>
      </c>
      <c r="U157">
        <v>2.8792756978085298E-4</v>
      </c>
      <c r="V157" s="1">
        <v>5.9937476801230197E-5</v>
      </c>
      <c r="W157">
        <v>34201.183431952602</v>
      </c>
      <c r="X157">
        <v>2.2843542800676199E-3</v>
      </c>
      <c r="Y157">
        <v>-62.768178379192904</v>
      </c>
    </row>
    <row r="158" spans="1:25" x14ac:dyDescent="0.4">
      <c r="A158">
        <v>134</v>
      </c>
      <c r="B158" t="s">
        <v>244</v>
      </c>
      <c r="C158">
        <v>1</v>
      </c>
      <c r="D158">
        <v>4968863273000</v>
      </c>
      <c r="E158">
        <v>1397520037</v>
      </c>
      <c r="F158">
        <v>227483513.46000001</v>
      </c>
      <c r="G158">
        <v>31507542</v>
      </c>
      <c r="H158">
        <v>2.8125548243476402E-4</v>
      </c>
      <c r="I158" s="1">
        <v>4.5781801784747903E-5</v>
      </c>
      <c r="J158">
        <v>157703.93237911101</v>
      </c>
      <c r="K158">
        <v>4.3218594271198498E-3</v>
      </c>
      <c r="L158">
        <v>-15.211242204611599</v>
      </c>
      <c r="N158">
        <v>851</v>
      </c>
      <c r="O158" t="s">
        <v>249</v>
      </c>
      <c r="P158">
        <v>2</v>
      </c>
      <c r="Q158">
        <v>261905718150</v>
      </c>
      <c r="R158">
        <v>247499980</v>
      </c>
      <c r="S158">
        <v>10212500</v>
      </c>
      <c r="T158">
        <v>5898231</v>
      </c>
      <c r="U158">
        <v>9.44996473342558E-4</v>
      </c>
      <c r="V158" s="1">
        <v>3.8993039449986501E-5</v>
      </c>
      <c r="W158">
        <v>44404.113394337997</v>
      </c>
      <c r="X158">
        <v>2.3002131804311299E-4</v>
      </c>
      <c r="Y158">
        <v>-65.9349917473441</v>
      </c>
    </row>
    <row r="159" spans="1:25" x14ac:dyDescent="0.4">
      <c r="A159">
        <v>170</v>
      </c>
      <c r="B159" t="s">
        <v>186</v>
      </c>
      <c r="C159">
        <v>1</v>
      </c>
      <c r="D159">
        <v>4175100891500</v>
      </c>
      <c r="E159">
        <v>5728709146</v>
      </c>
      <c r="F159">
        <v>290856349.63</v>
      </c>
      <c r="G159">
        <v>88501032</v>
      </c>
      <c r="H159">
        <v>1.37211274526633E-3</v>
      </c>
      <c r="I159" s="1">
        <v>6.9664508041505799E-5</v>
      </c>
      <c r="J159">
        <v>47175.7311428865</v>
      </c>
      <c r="K159">
        <v>3.6314541487094299E-3</v>
      </c>
      <c r="L159">
        <v>-16.594329813223599</v>
      </c>
      <c r="N159">
        <v>888</v>
      </c>
      <c r="O159" t="s">
        <v>260</v>
      </c>
      <c r="P159">
        <v>1</v>
      </c>
      <c r="Q159">
        <v>1840659600000</v>
      </c>
      <c r="R159">
        <v>784557088</v>
      </c>
      <c r="S159">
        <v>105821711.94</v>
      </c>
      <c r="T159">
        <v>30383618</v>
      </c>
      <c r="U159">
        <v>4.2623692506751302E-4</v>
      </c>
      <c r="V159" s="1">
        <v>5.7491190625360598E-5</v>
      </c>
      <c r="W159">
        <v>60580.658959048204</v>
      </c>
      <c r="X159">
        <v>1.6165777144973299E-3</v>
      </c>
      <c r="Y159">
        <v>-74.6144532510543</v>
      </c>
    </row>
    <row r="160" spans="1:25" x14ac:dyDescent="0.4">
      <c r="A160">
        <v>664</v>
      </c>
      <c r="B160" t="s">
        <v>264</v>
      </c>
      <c r="C160">
        <v>1</v>
      </c>
      <c r="D160">
        <v>3856916567000</v>
      </c>
      <c r="E160">
        <v>1029910617</v>
      </c>
      <c r="F160">
        <v>179276420.56</v>
      </c>
      <c r="G160">
        <v>40572287</v>
      </c>
      <c r="H160">
        <v>2.6702952970566503E-4</v>
      </c>
      <c r="I160" s="1">
        <v>4.6481798982612003E-5</v>
      </c>
      <c r="J160">
        <v>95062.833578989506</v>
      </c>
      <c r="K160">
        <v>3.3547011275759202E-3</v>
      </c>
      <c r="L160">
        <v>-17.265258403152298</v>
      </c>
      <c r="N160">
        <v>1081</v>
      </c>
      <c r="O160" t="s">
        <v>267</v>
      </c>
      <c r="P160">
        <v>2</v>
      </c>
      <c r="Q160">
        <v>1524742265500</v>
      </c>
      <c r="R160">
        <v>465073179</v>
      </c>
      <c r="S160">
        <v>113838229.20999999</v>
      </c>
      <c r="T160">
        <v>51402062</v>
      </c>
      <c r="U160">
        <v>3.0501756888564398E-4</v>
      </c>
      <c r="V160" s="1">
        <v>7.4660637266895497E-5</v>
      </c>
      <c r="W160">
        <v>29663.056425635201</v>
      </c>
      <c r="X160">
        <v>1.3391201538619499E-3</v>
      </c>
      <c r="Y160">
        <v>-81.980673446165198</v>
      </c>
    </row>
    <row r="161" spans="1:25" x14ac:dyDescent="0.4">
      <c r="A161">
        <v>652</v>
      </c>
      <c r="B161" t="s">
        <v>162</v>
      </c>
      <c r="C161">
        <v>2</v>
      </c>
      <c r="D161">
        <v>3379068000000</v>
      </c>
      <c r="E161">
        <v>2243538876</v>
      </c>
      <c r="F161">
        <v>210747028.69999999</v>
      </c>
      <c r="G161">
        <v>15939000</v>
      </c>
      <c r="H161">
        <v>6.6395197610702103E-4</v>
      </c>
      <c r="I161" s="1">
        <v>6.2368389360616594E-5</v>
      </c>
      <c r="J161">
        <v>212000</v>
      </c>
      <c r="K161">
        <v>2.9390740071343902E-3</v>
      </c>
      <c r="L161">
        <v>-18.445682926828201</v>
      </c>
      <c r="N161">
        <v>983</v>
      </c>
      <c r="O161" t="s">
        <v>255</v>
      </c>
      <c r="P161">
        <v>2</v>
      </c>
      <c r="Q161">
        <v>817571760000</v>
      </c>
      <c r="R161">
        <v>472661542</v>
      </c>
      <c r="S161">
        <v>53213709.969999999</v>
      </c>
      <c r="T161">
        <v>19335155</v>
      </c>
      <c r="U161">
        <v>5.7812850825473704E-4</v>
      </c>
      <c r="V161" s="1">
        <v>6.5087509835222294E-5</v>
      </c>
      <c r="W161">
        <v>42284.210289495997</v>
      </c>
      <c r="X161">
        <v>7.1804058024545301E-4</v>
      </c>
      <c r="Y161">
        <v>-111.955841888815</v>
      </c>
    </row>
    <row r="162" spans="1:25" x14ac:dyDescent="0.4">
      <c r="A162">
        <v>9</v>
      </c>
      <c r="B162" t="s">
        <v>227</v>
      </c>
      <c r="C162">
        <v>1</v>
      </c>
      <c r="D162">
        <v>3137227261000</v>
      </c>
      <c r="E162">
        <v>1433630369</v>
      </c>
      <c r="F162">
        <v>135887500</v>
      </c>
      <c r="G162">
        <v>20074690</v>
      </c>
      <c r="H162">
        <v>4.5697370631129402E-4</v>
      </c>
      <c r="I162" s="1">
        <v>4.3314522250034701E-5</v>
      </c>
      <c r="J162">
        <v>156277.74381571999</v>
      </c>
      <c r="K162">
        <v>2.7287237478732401E-3</v>
      </c>
      <c r="L162">
        <v>-19.143450283174602</v>
      </c>
      <c r="N162">
        <v>934</v>
      </c>
      <c r="O162" t="s">
        <v>271</v>
      </c>
      <c r="P162">
        <v>2</v>
      </c>
      <c r="Q162">
        <v>809648094500</v>
      </c>
      <c r="R162">
        <v>189232384</v>
      </c>
      <c r="S162">
        <v>39389565.960000001</v>
      </c>
      <c r="T162">
        <v>16578870</v>
      </c>
      <c r="U162">
        <v>2.3372176787109E-4</v>
      </c>
      <c r="V162" s="1">
        <v>4.8650229930232897E-5</v>
      </c>
      <c r="W162">
        <v>48836.144713119698</v>
      </c>
      <c r="X162">
        <v>7.1108154172228901E-4</v>
      </c>
      <c r="Y162">
        <v>-112.502339057805</v>
      </c>
    </row>
    <row r="163" spans="1:25" x14ac:dyDescent="0.4">
      <c r="A163">
        <v>452</v>
      </c>
      <c r="B163" t="s">
        <v>237</v>
      </c>
      <c r="C163">
        <v>1</v>
      </c>
      <c r="D163">
        <v>2580000000000</v>
      </c>
      <c r="E163">
        <v>990953848</v>
      </c>
      <c r="F163">
        <v>125925547.88</v>
      </c>
      <c r="G163">
        <v>17559984</v>
      </c>
      <c r="H163">
        <v>3.8409063875968899E-4</v>
      </c>
      <c r="I163" s="1">
        <v>4.88083518914728E-5</v>
      </c>
      <c r="J163">
        <v>146924.963029579</v>
      </c>
      <c r="K163">
        <v>2.2440539635209299E-3</v>
      </c>
      <c r="L163">
        <v>-21.1097627246751</v>
      </c>
      <c r="N163">
        <v>365</v>
      </c>
      <c r="O163" t="s">
        <v>256</v>
      </c>
      <c r="P163">
        <v>2</v>
      </c>
      <c r="Q163">
        <v>448275000000</v>
      </c>
      <c r="R163">
        <v>157418568</v>
      </c>
      <c r="S163">
        <v>32625000</v>
      </c>
      <c r="T163">
        <v>7471726</v>
      </c>
      <c r="U163">
        <v>3.5116517316379398E-4</v>
      </c>
      <c r="V163" s="1">
        <v>7.2778986113434805E-5</v>
      </c>
      <c r="W163">
        <v>59996.177590024003</v>
      </c>
      <c r="X163">
        <v>3.9370200495859902E-4</v>
      </c>
      <c r="Y163">
        <v>-151.19500422798501</v>
      </c>
    </row>
    <row r="164" spans="1:25" x14ac:dyDescent="0.4">
      <c r="A164">
        <v>507</v>
      </c>
      <c r="B164" t="s">
        <v>229</v>
      </c>
      <c r="C164">
        <v>1</v>
      </c>
      <c r="D164">
        <v>2404097759150</v>
      </c>
      <c r="E164">
        <v>648134480</v>
      </c>
      <c r="F164">
        <v>109135979.41</v>
      </c>
      <c r="G164">
        <v>13514592</v>
      </c>
      <c r="H164">
        <v>2.6959572568677702E-4</v>
      </c>
      <c r="I164" s="1">
        <v>4.5395815954084303E-5</v>
      </c>
      <c r="J164">
        <v>177889.03720881799</v>
      </c>
      <c r="K164">
        <v>2.0910562422916E-3</v>
      </c>
      <c r="L164">
        <v>-21.868406743268899</v>
      </c>
    </row>
    <row r="165" spans="1:25" x14ac:dyDescent="0.4">
      <c r="A165">
        <v>1132</v>
      </c>
      <c r="B165" t="s">
        <v>228</v>
      </c>
      <c r="C165">
        <v>2</v>
      </c>
      <c r="D165">
        <v>2319681728000</v>
      </c>
      <c r="E165">
        <v>1355323101</v>
      </c>
      <c r="F165">
        <v>210714913.61000001</v>
      </c>
      <c r="G165">
        <v>44951654</v>
      </c>
      <c r="H165">
        <v>5.8427114575262896E-4</v>
      </c>
      <c r="I165" s="1">
        <v>9.0837855498252207E-5</v>
      </c>
      <c r="J165">
        <v>51603.923806674597</v>
      </c>
      <c r="K165">
        <v>2.01763216117266E-3</v>
      </c>
      <c r="L165">
        <v>-22.2627599756186</v>
      </c>
    </row>
    <row r="166" spans="1:25" x14ac:dyDescent="0.4">
      <c r="A166">
        <v>910</v>
      </c>
      <c r="B166" t="s">
        <v>265</v>
      </c>
      <c r="C166">
        <v>1</v>
      </c>
      <c r="D166">
        <v>17161562125000</v>
      </c>
      <c r="E166">
        <v>6370617458</v>
      </c>
      <c r="F166">
        <v>1134447406.77</v>
      </c>
      <c r="G166">
        <v>428284033</v>
      </c>
      <c r="H166">
        <v>3.7121431088838001E-4</v>
      </c>
      <c r="I166" s="1">
        <v>6.6103971101640006E-5</v>
      </c>
      <c r="J166">
        <v>40070.515832188401</v>
      </c>
      <c r="K166">
        <v>1.49269269406267E-2</v>
      </c>
      <c r="L166">
        <v>-24.554780210913801</v>
      </c>
    </row>
    <row r="167" spans="1:25" x14ac:dyDescent="0.4">
      <c r="A167">
        <v>888</v>
      </c>
      <c r="B167" t="s">
        <v>260</v>
      </c>
      <c r="C167">
        <v>1</v>
      </c>
      <c r="D167">
        <v>1840659600000</v>
      </c>
      <c r="E167">
        <v>784557088</v>
      </c>
      <c r="F167">
        <v>105821711.94</v>
      </c>
      <c r="G167">
        <v>30383618</v>
      </c>
      <c r="H167">
        <v>4.2623692506751302E-4</v>
      </c>
      <c r="I167" s="1">
        <v>5.7491190625360598E-5</v>
      </c>
      <c r="J167">
        <v>60580.658959048204</v>
      </c>
      <c r="K167">
        <v>1.60098429103598E-3</v>
      </c>
      <c r="L167">
        <v>-24.992313772420601</v>
      </c>
    </row>
    <row r="168" spans="1:25" x14ac:dyDescent="0.4">
      <c r="A168">
        <v>1011</v>
      </c>
      <c r="B168" t="s">
        <v>254</v>
      </c>
      <c r="C168">
        <v>1</v>
      </c>
      <c r="D168">
        <v>1823800000000</v>
      </c>
      <c r="E168">
        <v>593494933</v>
      </c>
      <c r="F168">
        <v>116031652.09</v>
      </c>
      <c r="G168">
        <v>20680000</v>
      </c>
      <c r="H168">
        <v>3.2541667562232699E-4</v>
      </c>
      <c r="I168" s="1">
        <v>6.3620820314727499E-5</v>
      </c>
      <c r="J168">
        <v>88191.489361702101</v>
      </c>
      <c r="K168">
        <v>1.5863200072362301E-3</v>
      </c>
      <c r="L168">
        <v>-25.107565198504499</v>
      </c>
    </row>
    <row r="169" spans="1:25" x14ac:dyDescent="0.4">
      <c r="A169">
        <v>1009</v>
      </c>
      <c r="B169" t="s">
        <v>197</v>
      </c>
      <c r="C169">
        <v>1</v>
      </c>
      <c r="D169">
        <v>1771201898100</v>
      </c>
      <c r="E169">
        <v>426406201</v>
      </c>
      <c r="F169">
        <v>81062389.340000004</v>
      </c>
      <c r="G169">
        <v>7406460</v>
      </c>
      <c r="H169">
        <v>2.40743983764591E-4</v>
      </c>
      <c r="I169" s="1">
        <v>4.5766882604945803E-5</v>
      </c>
      <c r="J169">
        <v>239142.84261307001</v>
      </c>
      <c r="K169">
        <v>1.5405707905531299E-3</v>
      </c>
      <c r="L169">
        <v>-25.477638452373299</v>
      </c>
    </row>
    <row r="170" spans="1:25" x14ac:dyDescent="0.4">
      <c r="A170">
        <v>1137</v>
      </c>
      <c r="B170" t="s">
        <v>248</v>
      </c>
      <c r="C170">
        <v>2</v>
      </c>
      <c r="D170">
        <v>1464000000000</v>
      </c>
      <c r="E170">
        <v>623424303</v>
      </c>
      <c r="F170">
        <v>101663311.34</v>
      </c>
      <c r="G170">
        <v>18000000</v>
      </c>
      <c r="H170">
        <v>4.2583627254098302E-4</v>
      </c>
      <c r="I170" s="1">
        <v>6.9442152554644796E-5</v>
      </c>
      <c r="J170">
        <v>81333.333333333299</v>
      </c>
      <c r="K170">
        <v>1.27337015604443E-3</v>
      </c>
      <c r="L170">
        <v>-28.0235187661957</v>
      </c>
    </row>
    <row r="171" spans="1:25" x14ac:dyDescent="0.4">
      <c r="A171">
        <v>1125</v>
      </c>
      <c r="B171" t="s">
        <v>253</v>
      </c>
      <c r="C171">
        <v>1</v>
      </c>
      <c r="D171">
        <v>1396978800000</v>
      </c>
      <c r="E171">
        <v>530958477</v>
      </c>
      <c r="F171">
        <v>90756250</v>
      </c>
      <c r="G171">
        <v>17215498</v>
      </c>
      <c r="H171">
        <v>3.8007625956814798E-4</v>
      </c>
      <c r="I171" s="1">
        <v>6.4966089678669399E-5</v>
      </c>
      <c r="J171">
        <v>81146.580830830397</v>
      </c>
      <c r="K171">
        <v>1.2150758965483301E-3</v>
      </c>
      <c r="L171">
        <v>-28.687869528995101</v>
      </c>
    </row>
    <row r="172" spans="1:25" x14ac:dyDescent="0.4">
      <c r="A172">
        <v>958</v>
      </c>
      <c r="B172" t="s">
        <v>220</v>
      </c>
      <c r="C172">
        <v>2</v>
      </c>
      <c r="D172">
        <v>1114113000000</v>
      </c>
      <c r="E172">
        <v>437992235</v>
      </c>
      <c r="F172">
        <v>70364901.719999999</v>
      </c>
      <c r="G172">
        <v>7608701</v>
      </c>
      <c r="H172">
        <v>3.9313088977509399E-4</v>
      </c>
      <c r="I172" s="1">
        <v>6.3157778178694597E-5</v>
      </c>
      <c r="J172">
        <v>146426.17708331501</v>
      </c>
      <c r="K172">
        <v>9.6904251684503599E-4</v>
      </c>
      <c r="L172">
        <v>-32.123923566663997</v>
      </c>
    </row>
    <row r="173" spans="1:25" x14ac:dyDescent="0.4">
      <c r="A173">
        <v>1124</v>
      </c>
      <c r="B173" t="s">
        <v>234</v>
      </c>
      <c r="C173">
        <v>2</v>
      </c>
      <c r="D173">
        <v>950314050000</v>
      </c>
      <c r="E173">
        <v>321412295</v>
      </c>
      <c r="F173">
        <v>39758333.329999998</v>
      </c>
      <c r="G173">
        <v>5642233</v>
      </c>
      <c r="H173">
        <v>3.3821692418416801E-4</v>
      </c>
      <c r="I173" s="1">
        <v>4.1837046742600499E-5</v>
      </c>
      <c r="J173">
        <v>168428.714305134</v>
      </c>
      <c r="K173">
        <v>8.2657209708997205E-4</v>
      </c>
      <c r="L173">
        <v>-34.782406769652397</v>
      </c>
    </row>
    <row r="174" spans="1:25" x14ac:dyDescent="0.4">
      <c r="A174">
        <v>986</v>
      </c>
      <c r="B174" t="s">
        <v>245</v>
      </c>
      <c r="C174">
        <v>2</v>
      </c>
      <c r="D174">
        <v>939671232500</v>
      </c>
      <c r="E174">
        <v>477399260</v>
      </c>
      <c r="F174">
        <v>35700577.25</v>
      </c>
      <c r="G174">
        <v>7224609</v>
      </c>
      <c r="H174">
        <v>5.0804924476604099E-4</v>
      </c>
      <c r="I174" s="1">
        <v>3.7992625521820401E-5</v>
      </c>
      <c r="J174">
        <v>130065.34090633799</v>
      </c>
      <c r="K174">
        <v>8.1731509833264399E-4</v>
      </c>
      <c r="L174">
        <v>-34.978826808033901</v>
      </c>
    </row>
    <row r="175" spans="1:25" x14ac:dyDescent="0.4">
      <c r="A175">
        <v>922</v>
      </c>
      <c r="B175" t="s">
        <v>266</v>
      </c>
      <c r="C175">
        <v>1</v>
      </c>
      <c r="D175">
        <v>8407861650000</v>
      </c>
      <c r="E175">
        <v>3071861977</v>
      </c>
      <c r="F175">
        <v>541725813.75</v>
      </c>
      <c r="G175">
        <v>198684218</v>
      </c>
      <c r="H175">
        <v>3.6535591389042399E-4</v>
      </c>
      <c r="I175" s="1">
        <v>6.4430866765035307E-5</v>
      </c>
      <c r="J175">
        <v>42317.712673082002</v>
      </c>
      <c r="K175">
        <v>7.3130601784566398E-3</v>
      </c>
      <c r="L175">
        <v>-35.080977098348299</v>
      </c>
    </row>
    <row r="176" spans="1:25" x14ac:dyDescent="0.4">
      <c r="A176">
        <v>1119</v>
      </c>
      <c r="B176" t="s">
        <v>239</v>
      </c>
      <c r="C176">
        <v>2</v>
      </c>
      <c r="D176">
        <v>920381612000</v>
      </c>
      <c r="E176">
        <v>581855572</v>
      </c>
      <c r="F176">
        <v>39315472.990000002</v>
      </c>
      <c r="G176">
        <v>8031327</v>
      </c>
      <c r="H176">
        <v>6.3218947924830902E-4</v>
      </c>
      <c r="I176" s="1">
        <v>4.2716491156931101E-5</v>
      </c>
      <c r="J176">
        <v>114598.94635095701</v>
      </c>
      <c r="K176">
        <v>8.0053721099239601E-4</v>
      </c>
      <c r="L176">
        <v>-35.3434742365476</v>
      </c>
    </row>
    <row r="177" spans="1:12" x14ac:dyDescent="0.4">
      <c r="A177">
        <v>800</v>
      </c>
      <c r="B177" t="s">
        <v>247</v>
      </c>
      <c r="C177">
        <v>2</v>
      </c>
      <c r="D177">
        <v>835976867200</v>
      </c>
      <c r="E177">
        <v>637284880</v>
      </c>
      <c r="F177">
        <v>49793269.75</v>
      </c>
      <c r="G177">
        <v>18047921</v>
      </c>
      <c r="H177">
        <v>7.6232358215186705E-4</v>
      </c>
      <c r="I177" s="1">
        <v>5.9562975608136497E-5</v>
      </c>
      <c r="J177">
        <v>46319.843000199297</v>
      </c>
      <c r="K177">
        <v>7.2712294660929103E-4</v>
      </c>
      <c r="L177">
        <v>-37.084811411130303</v>
      </c>
    </row>
    <row r="178" spans="1:12" x14ac:dyDescent="0.4">
      <c r="A178">
        <v>960</v>
      </c>
      <c r="B178" t="s">
        <v>213</v>
      </c>
      <c r="C178">
        <v>2</v>
      </c>
      <c r="D178">
        <v>765151456000</v>
      </c>
      <c r="E178">
        <v>513466909</v>
      </c>
      <c r="F178">
        <v>76485501.409999996</v>
      </c>
      <c r="G178">
        <v>16647174</v>
      </c>
      <c r="H178">
        <v>6.71065715125555E-4</v>
      </c>
      <c r="I178" s="1">
        <v>9.9961257095222702E-5</v>
      </c>
      <c r="J178">
        <v>45962.843663435</v>
      </c>
      <c r="K178">
        <v>6.6551982850023602E-4</v>
      </c>
      <c r="L178">
        <v>-38.763189141906601</v>
      </c>
    </row>
    <row r="179" spans="1:12" x14ac:dyDescent="0.4">
      <c r="A179">
        <v>793</v>
      </c>
      <c r="B179" t="s">
        <v>270</v>
      </c>
      <c r="C179">
        <v>1</v>
      </c>
      <c r="D179">
        <v>6619120000000</v>
      </c>
      <c r="E179">
        <v>1750448143</v>
      </c>
      <c r="F179">
        <v>358866673.66000003</v>
      </c>
      <c r="G179">
        <v>156937200</v>
      </c>
      <c r="H179">
        <v>2.6445330240273599E-4</v>
      </c>
      <c r="I179" s="1">
        <v>5.4216674370611203E-5</v>
      </c>
      <c r="J179">
        <v>42176.870748299298</v>
      </c>
      <c r="K179">
        <v>5.7572335158994799E-3</v>
      </c>
      <c r="L179">
        <v>-39.5379667845149</v>
      </c>
    </row>
    <row r="180" spans="1:12" x14ac:dyDescent="0.4">
      <c r="A180">
        <v>911</v>
      </c>
      <c r="B180" t="s">
        <v>219</v>
      </c>
      <c r="C180">
        <v>2</v>
      </c>
      <c r="D180">
        <v>681150000000</v>
      </c>
      <c r="E180">
        <v>444572034</v>
      </c>
      <c r="F180">
        <v>45425000</v>
      </c>
      <c r="G180">
        <v>6884771</v>
      </c>
      <c r="H180">
        <v>6.5267860823607095E-4</v>
      </c>
      <c r="I180" s="1">
        <v>6.6688688247816197E-5</v>
      </c>
      <c r="J180">
        <v>98935.7525471798</v>
      </c>
      <c r="K180">
        <v>5.92456340020264E-4</v>
      </c>
      <c r="L180">
        <v>-41.0839152189901</v>
      </c>
    </row>
    <row r="181" spans="1:12" x14ac:dyDescent="0.4">
      <c r="A181">
        <v>655</v>
      </c>
      <c r="B181" t="s">
        <v>263</v>
      </c>
      <c r="C181">
        <v>2</v>
      </c>
      <c r="D181">
        <v>643897590000</v>
      </c>
      <c r="E181">
        <v>138279817</v>
      </c>
      <c r="F181">
        <v>33900000</v>
      </c>
      <c r="G181">
        <v>6527968</v>
      </c>
      <c r="H181">
        <v>2.14754363345264E-4</v>
      </c>
      <c r="I181" s="1">
        <v>5.2648123748995502E-5</v>
      </c>
      <c r="J181">
        <v>98636.7564914533</v>
      </c>
      <c r="K181">
        <v>5.6005462749654001E-4</v>
      </c>
      <c r="L181">
        <v>-42.255651786264302</v>
      </c>
    </row>
    <row r="182" spans="1:12" x14ac:dyDescent="0.4">
      <c r="A182">
        <v>347</v>
      </c>
      <c r="B182" t="s">
        <v>243</v>
      </c>
      <c r="C182">
        <v>2</v>
      </c>
      <c r="D182">
        <v>586148839500</v>
      </c>
      <c r="E182">
        <v>510512092</v>
      </c>
      <c r="F182">
        <v>31737500</v>
      </c>
      <c r="G182">
        <v>11052251</v>
      </c>
      <c r="H182">
        <v>8.7095982726073402E-4</v>
      </c>
      <c r="I182" s="1">
        <v>5.4145803695649898E-5</v>
      </c>
      <c r="J182">
        <v>53034.3401991141</v>
      </c>
      <c r="K182">
        <v>5.0982543662525905E-4</v>
      </c>
      <c r="L182">
        <v>-44.288324454500497</v>
      </c>
    </row>
    <row r="183" spans="1:12" x14ac:dyDescent="0.4">
      <c r="A183">
        <v>1140</v>
      </c>
      <c r="B183" t="s">
        <v>252</v>
      </c>
      <c r="C183">
        <v>2</v>
      </c>
      <c r="D183">
        <v>553308000000</v>
      </c>
      <c r="E183">
        <v>119415519</v>
      </c>
      <c r="F183">
        <v>21025000</v>
      </c>
      <c r="G183">
        <v>3528000</v>
      </c>
      <c r="H183">
        <v>2.1582105987984901E-4</v>
      </c>
      <c r="I183" s="1">
        <v>3.7998727652591303E-5</v>
      </c>
      <c r="J183">
        <v>156833.33333333299</v>
      </c>
      <c r="K183">
        <v>4.8126085676272799E-4</v>
      </c>
      <c r="L183">
        <v>-45.583716413670899</v>
      </c>
    </row>
    <row r="184" spans="1:12" x14ac:dyDescent="0.4">
      <c r="A184">
        <v>440</v>
      </c>
      <c r="B184" t="s">
        <v>262</v>
      </c>
      <c r="C184">
        <v>1</v>
      </c>
      <c r="D184">
        <v>3788400000000</v>
      </c>
      <c r="E184">
        <v>1795385648</v>
      </c>
      <c r="F184">
        <v>201097540.19</v>
      </c>
      <c r="G184">
        <v>65450000</v>
      </c>
      <c r="H184">
        <v>4.7391660014781898E-4</v>
      </c>
      <c r="I184" s="1">
        <v>5.3082446465526297E-5</v>
      </c>
      <c r="J184">
        <v>57882.352941176403</v>
      </c>
      <c r="K184">
        <v>3.2951062152723602E-3</v>
      </c>
      <c r="L184">
        <v>-52.262062570730102</v>
      </c>
    </row>
    <row r="185" spans="1:12" x14ac:dyDescent="0.4">
      <c r="A185">
        <v>478</v>
      </c>
      <c r="B185" t="s">
        <v>198</v>
      </c>
      <c r="C185">
        <v>2</v>
      </c>
      <c r="D185">
        <v>376219473000</v>
      </c>
      <c r="E185">
        <v>456315061</v>
      </c>
      <c r="F185">
        <v>27925000</v>
      </c>
      <c r="G185">
        <v>12493527</v>
      </c>
      <c r="H185">
        <v>1.2128959124877599E-3</v>
      </c>
      <c r="I185" s="1">
        <v>7.42252913633739E-5</v>
      </c>
      <c r="J185">
        <v>30113.1516344423</v>
      </c>
      <c r="K185">
        <v>3.2723131765093202E-4</v>
      </c>
      <c r="L185">
        <v>-55.280577259025897</v>
      </c>
    </row>
    <row r="186" spans="1:12" x14ac:dyDescent="0.4">
      <c r="A186">
        <v>1007</v>
      </c>
      <c r="B186" t="s">
        <v>224</v>
      </c>
      <c r="C186">
        <v>3</v>
      </c>
      <c r="D186">
        <v>367551336300</v>
      </c>
      <c r="E186">
        <v>190481249</v>
      </c>
      <c r="F186">
        <v>28435800</v>
      </c>
      <c r="G186">
        <v>4125225</v>
      </c>
      <c r="H186">
        <v>5.1824392999765001E-4</v>
      </c>
      <c r="I186" s="1">
        <v>7.7365519293855396E-5</v>
      </c>
      <c r="J186">
        <v>89098.494336672506</v>
      </c>
      <c r="K186">
        <v>3.1969187326411899E-4</v>
      </c>
      <c r="L186">
        <v>-55.928632652248602</v>
      </c>
    </row>
    <row r="187" spans="1:12" x14ac:dyDescent="0.4">
      <c r="A187">
        <v>941</v>
      </c>
      <c r="B187" t="s">
        <v>230</v>
      </c>
      <c r="C187">
        <v>3</v>
      </c>
      <c r="D187">
        <v>352244847850</v>
      </c>
      <c r="E187">
        <v>196031337</v>
      </c>
      <c r="F187">
        <v>36004253.359999999</v>
      </c>
      <c r="G187">
        <v>10963439</v>
      </c>
      <c r="H187">
        <v>5.5652009730310602E-4</v>
      </c>
      <c r="I187">
        <v>1.02213711796664E-4</v>
      </c>
      <c r="J187">
        <v>32129.0470854993</v>
      </c>
      <c r="K187">
        <v>3.0637846780915399E-4</v>
      </c>
      <c r="L187">
        <v>-57.1308755773412</v>
      </c>
    </row>
    <row r="188" spans="1:12" x14ac:dyDescent="0.4">
      <c r="A188">
        <v>225</v>
      </c>
      <c r="B188" t="s">
        <v>225</v>
      </c>
      <c r="C188">
        <v>3</v>
      </c>
      <c r="D188">
        <v>332412275200</v>
      </c>
      <c r="E188">
        <v>152839354</v>
      </c>
      <c r="F188">
        <v>25708333.329999998</v>
      </c>
      <c r="G188">
        <v>3403351</v>
      </c>
      <c r="H188">
        <v>4.5978853791738602E-4</v>
      </c>
      <c r="I188" s="1">
        <v>7.7338700306816996E-5</v>
      </c>
      <c r="J188">
        <v>97672.051810113</v>
      </c>
      <c r="K188">
        <v>2.89128327009911E-4</v>
      </c>
      <c r="L188">
        <v>-58.810473815473401</v>
      </c>
    </row>
    <row r="189" spans="1:12" x14ac:dyDescent="0.4">
      <c r="A189">
        <v>907</v>
      </c>
      <c r="B189" t="s">
        <v>223</v>
      </c>
      <c r="C189">
        <v>3</v>
      </c>
      <c r="D189">
        <v>311180582400</v>
      </c>
      <c r="E189">
        <v>177558032</v>
      </c>
      <c r="F189">
        <v>23046666.670000002</v>
      </c>
      <c r="G189">
        <v>3389265</v>
      </c>
      <c r="H189">
        <v>5.7059483156234297E-4</v>
      </c>
      <c r="I189" s="1">
        <v>7.4062033344918606E-5</v>
      </c>
      <c r="J189">
        <v>91813.588609919796</v>
      </c>
      <c r="K189">
        <v>2.7066124779281801E-4</v>
      </c>
      <c r="L189">
        <v>-60.783675847404297</v>
      </c>
    </row>
    <row r="190" spans="1:12" x14ac:dyDescent="0.4">
      <c r="A190">
        <v>954</v>
      </c>
      <c r="B190" t="s">
        <v>269</v>
      </c>
      <c r="C190">
        <v>1</v>
      </c>
      <c r="D190">
        <v>2601000000000</v>
      </c>
      <c r="E190">
        <v>748899609</v>
      </c>
      <c r="F190">
        <v>155897377.16</v>
      </c>
      <c r="G190">
        <v>76050000</v>
      </c>
      <c r="H190">
        <v>2.8792756978085298E-4</v>
      </c>
      <c r="I190" s="1">
        <v>5.9937476801230197E-5</v>
      </c>
      <c r="J190">
        <v>34201.183431952602</v>
      </c>
      <c r="K190">
        <v>2.2623195190379598E-3</v>
      </c>
      <c r="L190">
        <v>-63.073115487335798</v>
      </c>
    </row>
    <row r="191" spans="1:12" x14ac:dyDescent="0.4">
      <c r="A191">
        <v>1105</v>
      </c>
      <c r="B191" t="s">
        <v>207</v>
      </c>
      <c r="C191">
        <v>3</v>
      </c>
      <c r="D191">
        <v>283860000000</v>
      </c>
      <c r="E191">
        <v>174572404</v>
      </c>
      <c r="F191">
        <v>18262500</v>
      </c>
      <c r="G191">
        <v>2175000</v>
      </c>
      <c r="H191">
        <v>6.1499472979637795E-4</v>
      </c>
      <c r="I191" s="1">
        <v>6.4336292538575302E-5</v>
      </c>
      <c r="J191">
        <v>130510.344827586</v>
      </c>
      <c r="K191">
        <v>2.4689812328877899E-4</v>
      </c>
      <c r="L191">
        <v>-63.641602341770898</v>
      </c>
    </row>
    <row r="192" spans="1:12" x14ac:dyDescent="0.4">
      <c r="A192">
        <v>851</v>
      </c>
      <c r="B192" t="s">
        <v>249</v>
      </c>
      <c r="C192">
        <v>2</v>
      </c>
      <c r="D192">
        <v>261905718150</v>
      </c>
      <c r="E192">
        <v>247499980</v>
      </c>
      <c r="F192">
        <v>10212500</v>
      </c>
      <c r="G192">
        <v>5898231</v>
      </c>
      <c r="H192">
        <v>9.44996473342558E-4</v>
      </c>
      <c r="I192" s="1">
        <v>3.8993039449986501E-5</v>
      </c>
      <c r="J192">
        <v>44404.113394337997</v>
      </c>
      <c r="K192">
        <v>2.2780254452841201E-4</v>
      </c>
      <c r="L192">
        <v>-66.255313703915803</v>
      </c>
    </row>
    <row r="193" spans="1:15" x14ac:dyDescent="0.4">
      <c r="A193">
        <v>373</v>
      </c>
      <c r="B193" t="s">
        <v>125</v>
      </c>
      <c r="C193">
        <v>3</v>
      </c>
      <c r="D193">
        <v>235000000000</v>
      </c>
      <c r="E193">
        <v>465305423</v>
      </c>
      <c r="F193">
        <v>14525000</v>
      </c>
      <c r="G193">
        <v>4000000</v>
      </c>
      <c r="H193">
        <v>1.9800230765957402E-3</v>
      </c>
      <c r="I193" s="1">
        <v>6.1808510638297802E-5</v>
      </c>
      <c r="J193">
        <v>58750</v>
      </c>
      <c r="K193">
        <v>2.0440026411915399E-4</v>
      </c>
      <c r="L193">
        <v>-69.945418608462703</v>
      </c>
    </row>
    <row r="194" spans="1:15" x14ac:dyDescent="0.4">
      <c r="A194">
        <v>1081</v>
      </c>
      <c r="B194" t="s">
        <v>267</v>
      </c>
      <c r="C194">
        <v>2</v>
      </c>
      <c r="D194">
        <v>1524742265500</v>
      </c>
      <c r="E194">
        <v>465073179</v>
      </c>
      <c r="F194">
        <v>113838229.20999999</v>
      </c>
      <c r="G194">
        <v>51402062</v>
      </c>
      <c r="H194">
        <v>3.0501756888564398E-4</v>
      </c>
      <c r="I194" s="1">
        <v>7.4660637266895497E-5</v>
      </c>
      <c r="J194">
        <v>29663.056425635201</v>
      </c>
      <c r="K194">
        <v>1.32620307141207E-3</v>
      </c>
      <c r="L194">
        <v>-82.378947701206698</v>
      </c>
    </row>
    <row r="195" spans="1:15" x14ac:dyDescent="0.4">
      <c r="A195">
        <v>983</v>
      </c>
      <c r="B195" t="s">
        <v>255</v>
      </c>
      <c r="C195">
        <v>2</v>
      </c>
      <c r="D195">
        <v>817571760000</v>
      </c>
      <c r="E195">
        <v>472661542</v>
      </c>
      <c r="F195">
        <v>53213709.969999999</v>
      </c>
      <c r="G195">
        <v>19335155</v>
      </c>
      <c r="H195">
        <v>5.7812850825473704E-4</v>
      </c>
      <c r="I195" s="1">
        <v>6.5087509835222294E-5</v>
      </c>
      <c r="J195">
        <v>42284.210289495997</v>
      </c>
      <c r="K195">
        <v>7.1111439863983804E-4</v>
      </c>
      <c r="L195">
        <v>-112.499739952242</v>
      </c>
    </row>
    <row r="196" spans="1:15" x14ac:dyDescent="0.4">
      <c r="A196">
        <v>934</v>
      </c>
      <c r="B196" t="s">
        <v>271</v>
      </c>
      <c r="C196">
        <v>2</v>
      </c>
      <c r="D196">
        <v>809648094500</v>
      </c>
      <c r="E196">
        <v>189232384</v>
      </c>
      <c r="F196">
        <v>39389565.960000001</v>
      </c>
      <c r="G196">
        <v>16578870</v>
      </c>
      <c r="H196">
        <v>2.3372176787109E-4</v>
      </c>
      <c r="I196" s="1">
        <v>4.8650229930232897E-5</v>
      </c>
      <c r="J196">
        <v>48836.144713119698</v>
      </c>
      <c r="K196">
        <v>7.0422248663561701E-4</v>
      </c>
      <c r="L196">
        <v>-113.048892085429</v>
      </c>
    </row>
    <row r="197" spans="1:15" x14ac:dyDescent="0.4">
      <c r="A197">
        <v>365</v>
      </c>
      <c r="B197" t="s">
        <v>256</v>
      </c>
      <c r="C197">
        <v>2</v>
      </c>
      <c r="D197">
        <v>448275000000</v>
      </c>
      <c r="E197">
        <v>157418568</v>
      </c>
      <c r="F197">
        <v>32625000</v>
      </c>
      <c r="G197">
        <v>7471726</v>
      </c>
      <c r="H197">
        <v>3.5116517316379398E-4</v>
      </c>
      <c r="I197" s="1">
        <v>7.2778986113434805E-5</v>
      </c>
      <c r="J197">
        <v>59996.177590024003</v>
      </c>
      <c r="K197">
        <v>3.8990437616176097E-4</v>
      </c>
      <c r="L197">
        <v>-151.92953195438201</v>
      </c>
    </row>
    <row r="198" spans="1:15" x14ac:dyDescent="0.4">
      <c r="I198" s="1"/>
      <c r="O198" s="1"/>
    </row>
    <row r="199" spans="1:15" x14ac:dyDescent="0.4">
      <c r="I199" s="1"/>
      <c r="O199" s="1"/>
    </row>
    <row r="200" spans="1:15" x14ac:dyDescent="0.4">
      <c r="O200" s="1"/>
    </row>
    <row r="201" spans="1:15" x14ac:dyDescent="0.4">
      <c r="I201" s="1"/>
      <c r="O201" s="1"/>
    </row>
    <row r="202" spans="1:15" x14ac:dyDescent="0.4">
      <c r="O202" s="1"/>
    </row>
    <row r="203" spans="1:15" x14ac:dyDescent="0.4">
      <c r="I203" s="1"/>
      <c r="O203" s="1"/>
    </row>
    <row r="204" spans="1:15" x14ac:dyDescent="0.4">
      <c r="I204" s="1"/>
      <c r="O204" s="1"/>
    </row>
    <row r="205" spans="1:15" x14ac:dyDescent="0.4">
      <c r="I205" s="1"/>
      <c r="O205" s="1"/>
    </row>
    <row r="206" spans="1:15" x14ac:dyDescent="0.4">
      <c r="O206" s="1"/>
    </row>
    <row r="207" spans="1:15" x14ac:dyDescent="0.4">
      <c r="I207" s="1"/>
      <c r="O207" s="1"/>
    </row>
    <row r="208" spans="1:15" x14ac:dyDescent="0.4">
      <c r="O208" s="1"/>
    </row>
    <row r="209" spans="9:15" x14ac:dyDescent="0.4">
      <c r="I209" s="1"/>
      <c r="O209" s="1"/>
    </row>
    <row r="210" spans="9:15" x14ac:dyDescent="0.4">
      <c r="I210" s="1"/>
      <c r="O210" s="1"/>
    </row>
    <row r="211" spans="9:15" x14ac:dyDescent="0.4">
      <c r="I211" s="1"/>
      <c r="O211" s="1"/>
    </row>
    <row r="212" spans="9:15" x14ac:dyDescent="0.4">
      <c r="O212" s="1"/>
    </row>
    <row r="213" spans="9:15" x14ac:dyDescent="0.4">
      <c r="I213" s="1"/>
      <c r="O213" s="1"/>
    </row>
    <row r="214" spans="9:15" x14ac:dyDescent="0.4">
      <c r="I214" s="1"/>
      <c r="O214" s="1"/>
    </row>
    <row r="215" spans="9:15" x14ac:dyDescent="0.4">
      <c r="I215" s="1"/>
      <c r="O215" s="1"/>
    </row>
    <row r="216" spans="9:15" x14ac:dyDescent="0.4">
      <c r="I216" s="1"/>
      <c r="O216" s="1"/>
    </row>
    <row r="217" spans="9:15" x14ac:dyDescent="0.4">
      <c r="I217" s="1"/>
      <c r="O217" s="1"/>
    </row>
    <row r="218" spans="9:15" x14ac:dyDescent="0.4">
      <c r="I218" s="1"/>
      <c r="O218" s="1"/>
    </row>
    <row r="219" spans="9:15" x14ac:dyDescent="0.4">
      <c r="I219" s="1"/>
      <c r="O219" s="1"/>
    </row>
    <row r="220" spans="9:15" x14ac:dyDescent="0.4">
      <c r="O220" s="1"/>
    </row>
    <row r="221" spans="9:15" x14ac:dyDescent="0.4">
      <c r="O221" s="1"/>
    </row>
    <row r="222" spans="9:15" x14ac:dyDescent="0.4">
      <c r="I222" s="1"/>
      <c r="O222" s="1"/>
    </row>
    <row r="223" spans="9:15" x14ac:dyDescent="0.4">
      <c r="I223" s="1"/>
      <c r="O223" s="1"/>
    </row>
    <row r="224" spans="9:15" x14ac:dyDescent="0.4">
      <c r="I224" s="1"/>
      <c r="O224" s="1"/>
    </row>
    <row r="225" spans="9:15" x14ac:dyDescent="0.4">
      <c r="I225" s="1"/>
      <c r="O225" s="1"/>
    </row>
    <row r="226" spans="9:15" x14ac:dyDescent="0.4">
      <c r="I226" s="1"/>
      <c r="O226" s="1"/>
    </row>
    <row r="227" spans="9:15" x14ac:dyDescent="0.4">
      <c r="I227" s="1"/>
      <c r="O227" s="1"/>
    </row>
    <row r="228" spans="9:15" x14ac:dyDescent="0.4">
      <c r="I228" s="1"/>
      <c r="O228" s="1"/>
    </row>
    <row r="229" spans="9:15" x14ac:dyDescent="0.4">
      <c r="I229" s="1"/>
      <c r="O229" s="1"/>
    </row>
    <row r="230" spans="9:15" x14ac:dyDescent="0.4">
      <c r="I230" s="1"/>
      <c r="O230" s="1"/>
    </row>
    <row r="231" spans="9:15" x14ac:dyDescent="0.4">
      <c r="I231" s="1"/>
      <c r="O231" s="1"/>
    </row>
    <row r="232" spans="9:15" x14ac:dyDescent="0.4">
      <c r="I232" s="1"/>
      <c r="O232" s="1"/>
    </row>
    <row r="233" spans="9:15" x14ac:dyDescent="0.4">
      <c r="I233" s="1"/>
      <c r="O233" s="1"/>
    </row>
    <row r="234" spans="9:15" x14ac:dyDescent="0.4">
      <c r="I234" s="1"/>
      <c r="O234" s="1"/>
    </row>
    <row r="235" spans="9:15" x14ac:dyDescent="0.4">
      <c r="I235" s="1"/>
      <c r="O235" s="1"/>
    </row>
    <row r="236" spans="9:15" x14ac:dyDescent="0.4">
      <c r="I236" s="1"/>
      <c r="O236" s="1"/>
    </row>
    <row r="237" spans="9:15" x14ac:dyDescent="0.4">
      <c r="I237" s="1"/>
      <c r="O237" s="1"/>
    </row>
    <row r="238" spans="9:15" x14ac:dyDescent="0.4">
      <c r="I238" s="1"/>
      <c r="O238" s="1"/>
    </row>
    <row r="239" spans="9:15" x14ac:dyDescent="0.4">
      <c r="I239" s="1"/>
      <c r="O239" s="1"/>
    </row>
    <row r="240" spans="9:15" x14ac:dyDescent="0.4">
      <c r="I240" s="1"/>
      <c r="O240" s="1"/>
    </row>
    <row r="241" spans="9:15" x14ac:dyDescent="0.4">
      <c r="I241" s="1"/>
      <c r="O241" s="1"/>
    </row>
    <row r="242" spans="9:15" x14ac:dyDescent="0.4">
      <c r="I242" s="1"/>
      <c r="O242" s="1"/>
    </row>
    <row r="243" spans="9:15" x14ac:dyDescent="0.4">
      <c r="I243" s="1"/>
      <c r="O243" s="1"/>
    </row>
    <row r="244" spans="9:15" x14ac:dyDescent="0.4">
      <c r="I244" s="1"/>
      <c r="O244" s="1"/>
    </row>
    <row r="245" spans="9:15" x14ac:dyDescent="0.4">
      <c r="I245" s="1"/>
      <c r="O245" s="1"/>
    </row>
    <row r="246" spans="9:15" x14ac:dyDescent="0.4">
      <c r="I246" s="1"/>
      <c r="O246" s="1"/>
    </row>
    <row r="247" spans="9:15" x14ac:dyDescent="0.4">
      <c r="I247" s="1"/>
      <c r="O247" s="1"/>
    </row>
    <row r="248" spans="9:15" x14ac:dyDescent="0.4">
      <c r="I248" s="1"/>
      <c r="O248" s="1"/>
    </row>
    <row r="249" spans="9:15" x14ac:dyDescent="0.4">
      <c r="I249" s="1"/>
      <c r="O249" s="1"/>
    </row>
    <row r="250" spans="9:15" x14ac:dyDescent="0.4">
      <c r="I250" s="1"/>
      <c r="O250" s="1"/>
    </row>
    <row r="251" spans="9:15" x14ac:dyDescent="0.4">
      <c r="I251" s="1"/>
      <c r="O251" s="1"/>
    </row>
    <row r="252" spans="9:15" x14ac:dyDescent="0.4">
      <c r="I252" s="1"/>
      <c r="O252" s="1"/>
    </row>
    <row r="253" spans="9:15" x14ac:dyDescent="0.4">
      <c r="I253" s="1"/>
      <c r="O253" s="1"/>
    </row>
    <row r="254" spans="9:15" x14ac:dyDescent="0.4">
      <c r="I254" s="1"/>
      <c r="O254" s="1"/>
    </row>
    <row r="255" spans="9:15" x14ac:dyDescent="0.4">
      <c r="I255" s="1"/>
      <c r="O255" s="1"/>
    </row>
    <row r="256" spans="9:15" x14ac:dyDescent="0.4">
      <c r="I256" s="1"/>
      <c r="O256" s="1"/>
    </row>
    <row r="257" spans="8:15" x14ac:dyDescent="0.4">
      <c r="I257" s="1"/>
      <c r="O257" s="1"/>
    </row>
    <row r="258" spans="8:15" x14ac:dyDescent="0.4">
      <c r="I258" s="1"/>
      <c r="O258" s="1"/>
    </row>
    <row r="259" spans="8:15" x14ac:dyDescent="0.4">
      <c r="I259" s="1"/>
      <c r="O259" s="1"/>
    </row>
    <row r="260" spans="8:15" x14ac:dyDescent="0.4">
      <c r="I260" s="1"/>
      <c r="O260" s="1"/>
    </row>
    <row r="261" spans="8:15" x14ac:dyDescent="0.4">
      <c r="I261" s="1"/>
      <c r="O261" s="1"/>
    </row>
    <row r="262" spans="8:15" x14ac:dyDescent="0.4">
      <c r="H262" s="1"/>
      <c r="I262" s="1"/>
      <c r="O262" s="1"/>
    </row>
    <row r="263" spans="8:15" x14ac:dyDescent="0.4">
      <c r="H263" s="1"/>
      <c r="I263" s="1"/>
      <c r="O263" s="1"/>
    </row>
    <row r="264" spans="8:15" x14ac:dyDescent="0.4">
      <c r="H264" s="1"/>
      <c r="I264" s="1"/>
      <c r="O264" s="1"/>
    </row>
    <row r="265" spans="8:15" x14ac:dyDescent="0.4">
      <c r="O265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Y246"/>
  <sheetViews>
    <sheetView tabSelected="1" workbookViewId="0">
      <selection activeCell="E1" sqref="E1"/>
    </sheetView>
  </sheetViews>
  <sheetFormatPr defaultRowHeight="17.399999999999999" x14ac:dyDescent="0.4"/>
  <sheetData>
    <row r="1" spans="2:25" x14ac:dyDescent="0.4">
      <c r="C1" t="s">
        <v>534</v>
      </c>
      <c r="F1" t="s">
        <v>535</v>
      </c>
    </row>
    <row r="2" spans="2:25" x14ac:dyDescent="0.4">
      <c r="C2" t="s">
        <v>340</v>
      </c>
      <c r="D2" t="s">
        <v>341</v>
      </c>
      <c r="F2" t="s">
        <v>340</v>
      </c>
      <c r="G2" t="s">
        <v>341</v>
      </c>
      <c r="L2" t="s">
        <v>0</v>
      </c>
      <c r="M2" t="s">
        <v>1</v>
      </c>
      <c r="N2" t="s">
        <v>2</v>
      </c>
      <c r="O2" t="s">
        <v>3</v>
      </c>
      <c r="P2" t="s">
        <v>4</v>
      </c>
      <c r="Q2" t="s">
        <v>5</v>
      </c>
      <c r="R2" t="s">
        <v>6</v>
      </c>
      <c r="S2" t="s">
        <v>7</v>
      </c>
      <c r="T2" t="s">
        <v>8</v>
      </c>
      <c r="U2" t="s">
        <v>336</v>
      </c>
      <c r="V2" t="s">
        <v>9</v>
      </c>
    </row>
    <row r="3" spans="2:25" x14ac:dyDescent="0.4">
      <c r="B3" t="s">
        <v>337</v>
      </c>
      <c r="C3">
        <v>0.52</v>
      </c>
      <c r="D3">
        <v>4.8099999999999996</v>
      </c>
      <c r="F3">
        <v>14.77</v>
      </c>
      <c r="G3">
        <v>17.82</v>
      </c>
      <c r="K3">
        <v>1</v>
      </c>
      <c r="L3" t="s">
        <v>342</v>
      </c>
      <c r="M3">
        <v>3</v>
      </c>
      <c r="N3">
        <v>167333481.63999999</v>
      </c>
      <c r="O3">
        <v>234269796</v>
      </c>
      <c r="P3">
        <v>235189565</v>
      </c>
      <c r="Q3">
        <v>2213178</v>
      </c>
      <c r="R3">
        <v>1.4000174603669899</v>
      </c>
      <c r="S3">
        <v>1.4055140829854</v>
      </c>
      <c r="T3">
        <v>75.607782853435097</v>
      </c>
      <c r="U3">
        <v>9.2497963501200191E-3</v>
      </c>
      <c r="V3">
        <v>-10.397619356881201</v>
      </c>
      <c r="W3">
        <f>R3*U3</f>
        <v>1.2949876395006882E-2</v>
      </c>
      <c r="X3">
        <f>(R3-$W$246)^2*U3</f>
        <v>1.8421140602462291E-2</v>
      </c>
      <c r="Y3">
        <f>(R3-$W$246)/$X$246</f>
        <v>-0.79565518423818071</v>
      </c>
    </row>
    <row r="4" spans="2:25" x14ac:dyDescent="0.4">
      <c r="B4" t="s">
        <v>338</v>
      </c>
      <c r="C4">
        <v>3.1</v>
      </c>
      <c r="D4">
        <v>7.15</v>
      </c>
      <c r="F4">
        <v>9.89</v>
      </c>
      <c r="G4">
        <v>11.42</v>
      </c>
      <c r="K4">
        <v>17</v>
      </c>
      <c r="L4" t="s">
        <v>343</v>
      </c>
      <c r="M4">
        <v>3</v>
      </c>
      <c r="N4">
        <v>152822012.5</v>
      </c>
      <c r="O4">
        <v>483165515</v>
      </c>
      <c r="P4">
        <v>483410367</v>
      </c>
      <c r="Q4">
        <v>2080654</v>
      </c>
      <c r="R4">
        <v>3.1616225116784098</v>
      </c>
      <c r="S4">
        <v>3.1632247154185298</v>
      </c>
      <c r="T4">
        <v>73.449027325062204</v>
      </c>
      <c r="U4">
        <v>8.4476368960137108E-3</v>
      </c>
      <c r="V4">
        <v>32.640261955743</v>
      </c>
      <c r="W4">
        <f t="shared" ref="W4:W67" si="0">R4*U4</f>
        <v>2.6708238980922075E-2</v>
      </c>
      <c r="X4">
        <f t="shared" ref="X4:X67" si="1">(R4-$W$246)^2*U4</f>
        <v>1.0371627585806901E-3</v>
      </c>
      <c r="Y4">
        <f t="shared" ref="Y4:Y67" si="2">(R4-$W$246)/$X$246</f>
        <v>0.19755524369359168</v>
      </c>
    </row>
    <row r="5" spans="2:25" x14ac:dyDescent="0.4">
      <c r="B5" t="s">
        <v>339</v>
      </c>
      <c r="C5">
        <v>8.73</v>
      </c>
      <c r="D5">
        <v>12.46</v>
      </c>
      <c r="F5">
        <v>16.62</v>
      </c>
      <c r="G5">
        <v>16.72</v>
      </c>
      <c r="K5">
        <v>20</v>
      </c>
      <c r="L5" t="s">
        <v>344</v>
      </c>
      <c r="M5">
        <v>3</v>
      </c>
      <c r="N5">
        <v>61822825.299999997</v>
      </c>
      <c r="O5">
        <v>72473018</v>
      </c>
      <c r="P5">
        <v>74413717</v>
      </c>
      <c r="Q5">
        <v>1028053</v>
      </c>
      <c r="R5">
        <v>1.17226958891508</v>
      </c>
      <c r="S5">
        <v>1.2036608912469</v>
      </c>
      <c r="T5">
        <v>60.135834728365097</v>
      </c>
      <c r="U5">
        <v>3.4174185477376098E-3</v>
      </c>
      <c r="V5">
        <v>-17.1060963515819</v>
      </c>
      <c r="W5">
        <f t="shared" si="0"/>
        <v>4.0061358361071376E-3</v>
      </c>
      <c r="X5">
        <f t="shared" si="1"/>
        <v>9.179830494917619E-3</v>
      </c>
      <c r="Y5">
        <f t="shared" si="2"/>
        <v>-0.92406169663828253</v>
      </c>
    </row>
    <row r="6" spans="2:25" x14ac:dyDescent="0.4">
      <c r="K6">
        <v>27</v>
      </c>
      <c r="L6" t="s">
        <v>117</v>
      </c>
      <c r="M6">
        <v>3</v>
      </c>
      <c r="N6">
        <v>73038614.400000006</v>
      </c>
      <c r="O6">
        <v>347847383</v>
      </c>
      <c r="P6">
        <v>345635540</v>
      </c>
      <c r="Q6">
        <v>4056827</v>
      </c>
      <c r="R6">
        <v>4.7625134438475802</v>
      </c>
      <c r="S6">
        <v>4.7322302434039596</v>
      </c>
      <c r="T6">
        <v>18.003877020143999</v>
      </c>
      <c r="U6">
        <v>4.0374006580966701E-3</v>
      </c>
      <c r="V6">
        <v>15.737983123492601</v>
      </c>
      <c r="W6">
        <f t="shared" si="0"/>
        <v>1.922817491238446E-2</v>
      </c>
      <c r="X6">
        <f t="shared" si="1"/>
        <v>1.5372444571738034E-2</v>
      </c>
      <c r="Y6">
        <f t="shared" si="2"/>
        <v>1.1001534546990328</v>
      </c>
    </row>
    <row r="7" spans="2:25" x14ac:dyDescent="0.4">
      <c r="K7">
        <v>31</v>
      </c>
      <c r="L7" t="s">
        <v>199</v>
      </c>
      <c r="M7">
        <v>3</v>
      </c>
      <c r="N7">
        <v>166066262.40000001</v>
      </c>
      <c r="O7">
        <v>286253146</v>
      </c>
      <c r="P7">
        <v>281075722</v>
      </c>
      <c r="Q7">
        <v>10628830</v>
      </c>
      <c r="R7">
        <v>1.72372847960236</v>
      </c>
      <c r="S7">
        <v>1.6925516232970801</v>
      </c>
      <c r="T7">
        <v>15.624133832228001</v>
      </c>
      <c r="U7">
        <v>9.17974748849309E-3</v>
      </c>
      <c r="V7">
        <v>-31.311645197235901</v>
      </c>
      <c r="W7">
        <f t="shared" si="0"/>
        <v>1.5823392181473776E-2</v>
      </c>
      <c r="X7">
        <f t="shared" si="1"/>
        <v>1.0856499638297898E-2</v>
      </c>
      <c r="Y7">
        <f t="shared" si="2"/>
        <v>-0.61314369580798866</v>
      </c>
    </row>
    <row r="8" spans="2:25" x14ac:dyDescent="0.4">
      <c r="K8">
        <v>34</v>
      </c>
      <c r="L8" t="s">
        <v>345</v>
      </c>
      <c r="M8">
        <v>3</v>
      </c>
      <c r="N8">
        <v>222649903.62</v>
      </c>
      <c r="O8">
        <v>428641735</v>
      </c>
      <c r="P8">
        <v>434663043</v>
      </c>
      <c r="Q8">
        <v>7750000</v>
      </c>
      <c r="R8">
        <v>1.9251826658392299</v>
      </c>
      <c r="S8">
        <v>1.9522265041796101</v>
      </c>
      <c r="T8">
        <v>28.729019821935399</v>
      </c>
      <c r="U8">
        <v>1.23075564177262E-2</v>
      </c>
      <c r="V8">
        <v>-27.041783851367502</v>
      </c>
      <c r="W8">
        <f t="shared" si="0"/>
        <v>2.3694294274244847E-2</v>
      </c>
      <c r="X8">
        <f t="shared" si="1"/>
        <v>9.6623969166942485E-3</v>
      </c>
      <c r="Y8">
        <f t="shared" si="2"/>
        <v>-0.49956182433684643</v>
      </c>
    </row>
    <row r="9" spans="2:25" x14ac:dyDescent="0.4">
      <c r="K9">
        <v>38</v>
      </c>
      <c r="L9" t="s">
        <v>346</v>
      </c>
      <c r="M9">
        <v>3</v>
      </c>
      <c r="N9">
        <v>103520783.45</v>
      </c>
      <c r="O9">
        <v>227925551</v>
      </c>
      <c r="P9">
        <v>222563327</v>
      </c>
      <c r="Q9">
        <v>1036411</v>
      </c>
      <c r="R9">
        <v>2.2017371140751298</v>
      </c>
      <c r="S9">
        <v>2.14993858800824</v>
      </c>
      <c r="T9">
        <v>99.883910388832206</v>
      </c>
      <c r="U9">
        <v>5.7223823680274096E-3</v>
      </c>
      <c r="V9">
        <v>-13.219394495216999</v>
      </c>
      <c r="W9">
        <f t="shared" si="0"/>
        <v>1.2599181640615076E-2</v>
      </c>
      <c r="X9">
        <f t="shared" si="1"/>
        <v>2.12575388182565E-3</v>
      </c>
      <c r="Y9">
        <f t="shared" si="2"/>
        <v>-0.34363767909536264</v>
      </c>
    </row>
    <row r="10" spans="2:25" x14ac:dyDescent="0.4">
      <c r="K10">
        <v>39</v>
      </c>
      <c r="L10" t="s">
        <v>347</v>
      </c>
      <c r="M10">
        <v>3</v>
      </c>
      <c r="N10">
        <v>51259913.600000001</v>
      </c>
      <c r="O10">
        <v>264781470</v>
      </c>
      <c r="P10">
        <v>268535383</v>
      </c>
      <c r="Q10">
        <v>2356330</v>
      </c>
      <c r="R10">
        <v>5.1654685192446301</v>
      </c>
      <c r="S10">
        <v>5.2387014362817803</v>
      </c>
      <c r="T10">
        <v>21.754131891543199</v>
      </c>
      <c r="U10">
        <v>2.8335259451830199E-3</v>
      </c>
      <c r="V10">
        <v>18.786090198068301</v>
      </c>
      <c r="W10">
        <f t="shared" si="0"/>
        <v>1.4636489068305775E-2</v>
      </c>
      <c r="X10">
        <f t="shared" si="1"/>
        <v>1.5704655719572587E-2</v>
      </c>
      <c r="Y10">
        <f t="shared" si="2"/>
        <v>1.3273435292134319</v>
      </c>
    </row>
    <row r="11" spans="2:25" x14ac:dyDescent="0.4">
      <c r="K11">
        <v>41</v>
      </c>
      <c r="L11" t="s">
        <v>348</v>
      </c>
      <c r="M11">
        <v>3</v>
      </c>
      <c r="N11">
        <v>25769344.32</v>
      </c>
      <c r="O11">
        <v>53419887</v>
      </c>
      <c r="P11">
        <v>53724744</v>
      </c>
      <c r="Q11">
        <v>1020712</v>
      </c>
      <c r="R11">
        <v>2.0730014057260999</v>
      </c>
      <c r="S11">
        <v>2.0848316252386501</v>
      </c>
      <c r="T11">
        <v>25.2464400536096</v>
      </c>
      <c r="U11">
        <v>1.42446798273719E-3</v>
      </c>
      <c r="V11">
        <v>-79.486780822968996</v>
      </c>
      <c r="W11">
        <f t="shared" si="0"/>
        <v>2.9529241306260169E-3</v>
      </c>
      <c r="X11">
        <f t="shared" si="1"/>
        <v>7.7630690355010555E-4</v>
      </c>
      <c r="Y11">
        <f t="shared" si="2"/>
        <v>-0.41622015033899001</v>
      </c>
    </row>
    <row r="12" spans="2:25" x14ac:dyDescent="0.4">
      <c r="K12">
        <v>47</v>
      </c>
      <c r="L12" t="s">
        <v>349</v>
      </c>
      <c r="M12">
        <v>3</v>
      </c>
      <c r="N12">
        <v>19473304.199999999</v>
      </c>
      <c r="O12">
        <v>41319147</v>
      </c>
      <c r="P12">
        <v>39746836</v>
      </c>
      <c r="Q12">
        <v>12843486</v>
      </c>
      <c r="R12">
        <v>2.1218354407466098</v>
      </c>
      <c r="S12">
        <v>2.0410935705508</v>
      </c>
      <c r="T12">
        <v>1.5162008351937999</v>
      </c>
      <c r="U12">
        <v>1.0764378793089E-3</v>
      </c>
      <c r="V12">
        <v>-91.438010623611305</v>
      </c>
      <c r="W12">
        <f t="shared" si="0"/>
        <v>2.2840240420797459E-3</v>
      </c>
      <c r="X12">
        <f t="shared" si="1"/>
        <v>5.1159187275128047E-4</v>
      </c>
      <c r="Y12">
        <f t="shared" si="2"/>
        <v>-0.38868703627108458</v>
      </c>
    </row>
    <row r="13" spans="2:25" x14ac:dyDescent="0.4">
      <c r="K13">
        <v>51</v>
      </c>
      <c r="L13" t="s">
        <v>350</v>
      </c>
      <c r="M13">
        <v>3</v>
      </c>
      <c r="N13">
        <v>79603699.299999997</v>
      </c>
      <c r="O13">
        <v>217053175</v>
      </c>
      <c r="P13">
        <v>208579406</v>
      </c>
      <c r="Q13">
        <v>1871858</v>
      </c>
      <c r="R13">
        <v>2.7266719625930702</v>
      </c>
      <c r="S13">
        <v>2.6202225252614602</v>
      </c>
      <c r="T13">
        <v>42.526569483368903</v>
      </c>
      <c r="U13">
        <v>4.4003029162167301E-3</v>
      </c>
      <c r="V13">
        <v>-45.225144960069301</v>
      </c>
      <c r="W13">
        <f t="shared" si="0"/>
        <v>1.1998182588564681E-2</v>
      </c>
      <c r="X13">
        <f t="shared" si="1"/>
        <v>3.1461823872342184E-5</v>
      </c>
      <c r="Y13">
        <f t="shared" si="2"/>
        <v>-4.7674196733256971E-2</v>
      </c>
    </row>
    <row r="14" spans="2:25" x14ac:dyDescent="0.4">
      <c r="K14">
        <v>60</v>
      </c>
      <c r="L14" t="s">
        <v>351</v>
      </c>
      <c r="M14">
        <v>3</v>
      </c>
      <c r="N14">
        <v>58933365.899999999</v>
      </c>
      <c r="O14">
        <v>271855791</v>
      </c>
      <c r="P14">
        <v>270271536</v>
      </c>
      <c r="Q14">
        <v>3300000</v>
      </c>
      <c r="R14">
        <v>4.6129350809742196</v>
      </c>
      <c r="S14">
        <v>4.5860529408519604</v>
      </c>
      <c r="T14">
        <v>17.8585957272727</v>
      </c>
      <c r="U14">
        <v>3.25769611353021E-3</v>
      </c>
      <c r="V14">
        <v>17.520428159586199</v>
      </c>
      <c r="W14">
        <f t="shared" si="0"/>
        <v>1.502754068525688E-2</v>
      </c>
      <c r="X14">
        <f t="shared" si="1"/>
        <v>1.0574951244015576E-2</v>
      </c>
      <c r="Y14">
        <f t="shared" si="2"/>
        <v>1.0158196877810806</v>
      </c>
    </row>
    <row r="15" spans="2:25" x14ac:dyDescent="0.4">
      <c r="K15">
        <v>61</v>
      </c>
      <c r="L15" t="s">
        <v>352</v>
      </c>
      <c r="M15">
        <v>3</v>
      </c>
      <c r="N15">
        <v>119340941.3</v>
      </c>
      <c r="O15">
        <v>450849469</v>
      </c>
      <c r="P15">
        <v>458969934</v>
      </c>
      <c r="Q15">
        <v>3250000</v>
      </c>
      <c r="R15">
        <v>3.7778273247120699</v>
      </c>
      <c r="S15">
        <v>3.8458715760104298</v>
      </c>
      <c r="T15">
        <v>36.720289630769201</v>
      </c>
      <c r="U15">
        <v>6.59688301730018E-3</v>
      </c>
      <c r="V15">
        <v>12.312056749446301</v>
      </c>
      <c r="W15">
        <f t="shared" si="0"/>
        <v>2.4921884920685627E-2</v>
      </c>
      <c r="X15">
        <f t="shared" si="1"/>
        <v>6.1635468451749654E-3</v>
      </c>
      <c r="Y15">
        <f t="shared" si="2"/>
        <v>0.54497763873677274</v>
      </c>
    </row>
    <row r="16" spans="2:25" x14ac:dyDescent="0.4">
      <c r="K16">
        <v>65</v>
      </c>
      <c r="L16" t="s">
        <v>353</v>
      </c>
      <c r="M16">
        <v>3</v>
      </c>
      <c r="N16">
        <v>28605714.170000002</v>
      </c>
      <c r="O16">
        <v>130969022</v>
      </c>
      <c r="P16">
        <v>133171597</v>
      </c>
      <c r="Q16">
        <v>1013236</v>
      </c>
      <c r="R16">
        <v>4.5784216825235697</v>
      </c>
      <c r="S16">
        <v>4.6554194105617697</v>
      </c>
      <c r="T16">
        <v>28.232034955331201</v>
      </c>
      <c r="U16">
        <v>1.5812557530566101E-3</v>
      </c>
      <c r="V16">
        <v>25.147738791051701</v>
      </c>
      <c r="W16">
        <f t="shared" si="0"/>
        <v>7.2396556254095187E-3</v>
      </c>
      <c r="X16">
        <f t="shared" si="1"/>
        <v>4.9382132612494486E-3</v>
      </c>
      <c r="Y16">
        <f t="shared" si="2"/>
        <v>0.99636069087423662</v>
      </c>
    </row>
    <row r="17" spans="11:25" x14ac:dyDescent="0.4">
      <c r="K17">
        <v>68</v>
      </c>
      <c r="L17" t="s">
        <v>354</v>
      </c>
      <c r="M17">
        <v>3</v>
      </c>
      <c r="N17">
        <v>111831405</v>
      </c>
      <c r="O17">
        <v>230473197</v>
      </c>
      <c r="P17">
        <v>234021861</v>
      </c>
      <c r="Q17">
        <v>3226707</v>
      </c>
      <c r="R17">
        <v>2.0608986983575801</v>
      </c>
      <c r="S17">
        <v>2.09263096533572</v>
      </c>
      <c r="T17">
        <v>34.658060059373199</v>
      </c>
      <c r="U17">
        <v>6.1817737350569899E-3</v>
      </c>
      <c r="V17">
        <v>-38.156163600263604</v>
      </c>
      <c r="W17">
        <f t="shared" si="0"/>
        <v>1.2740009444120027E-2</v>
      </c>
      <c r="X17">
        <f t="shared" si="1"/>
        <v>3.4803128050466549E-3</v>
      </c>
      <c r="Y17">
        <f t="shared" si="2"/>
        <v>-0.42304377698315293</v>
      </c>
    </row>
    <row r="18" spans="11:25" x14ac:dyDescent="0.4">
      <c r="K18">
        <v>76</v>
      </c>
      <c r="L18" t="s">
        <v>355</v>
      </c>
      <c r="M18">
        <v>3</v>
      </c>
      <c r="N18">
        <v>40103841</v>
      </c>
      <c r="O18">
        <v>226373958.03999999</v>
      </c>
      <c r="P18">
        <v>226330020</v>
      </c>
      <c r="Q18">
        <v>469904</v>
      </c>
      <c r="R18">
        <v>5.6446951811922403</v>
      </c>
      <c r="S18">
        <v>5.6435995744148197</v>
      </c>
      <c r="T18">
        <v>85.344753396438406</v>
      </c>
      <c r="U18">
        <v>2.2168448207254602E-3</v>
      </c>
      <c r="V18">
        <v>63.716748872290601</v>
      </c>
      <c r="W18">
        <f t="shared" si="0"/>
        <v>1.2513413276999981E-2</v>
      </c>
      <c r="X18">
        <f t="shared" si="1"/>
        <v>1.7798004271695908E-2</v>
      </c>
      <c r="Y18">
        <f t="shared" si="2"/>
        <v>1.5975362819164085</v>
      </c>
    </row>
    <row r="19" spans="11:25" x14ac:dyDescent="0.4">
      <c r="K19">
        <v>81</v>
      </c>
      <c r="L19" t="s">
        <v>356</v>
      </c>
      <c r="M19">
        <v>3</v>
      </c>
      <c r="N19">
        <v>171605738</v>
      </c>
      <c r="O19">
        <v>655238900</v>
      </c>
      <c r="P19">
        <v>659859139</v>
      </c>
      <c r="Q19">
        <v>3285488</v>
      </c>
      <c r="R19">
        <v>3.8182808316118102</v>
      </c>
      <c r="S19">
        <v>3.8452044010323201</v>
      </c>
      <c r="T19">
        <v>52.231430460254302</v>
      </c>
      <c r="U19">
        <v>9.4859565070605396E-3</v>
      </c>
      <c r="V19">
        <v>10.2673752650125</v>
      </c>
      <c r="W19">
        <f t="shared" si="0"/>
        <v>3.6220045900412577E-2</v>
      </c>
      <c r="X19">
        <f t="shared" si="1"/>
        <v>9.6202116075038129E-3</v>
      </c>
      <c r="Y19">
        <f t="shared" si="2"/>
        <v>0.56778572779698577</v>
      </c>
    </row>
    <row r="20" spans="11:25" x14ac:dyDescent="0.4">
      <c r="K20">
        <v>82</v>
      </c>
      <c r="L20" t="s">
        <v>357</v>
      </c>
      <c r="M20">
        <v>3</v>
      </c>
      <c r="N20">
        <v>15280501.949999999</v>
      </c>
      <c r="O20">
        <v>17678649</v>
      </c>
      <c r="P20">
        <v>17865112</v>
      </c>
      <c r="Q20">
        <v>50365</v>
      </c>
      <c r="R20">
        <v>1.1569416409125199</v>
      </c>
      <c r="S20">
        <v>1.16914431596928</v>
      </c>
      <c r="T20">
        <v>303.39525364836601</v>
      </c>
      <c r="U20">
        <v>8.4466975634435795E-4</v>
      </c>
      <c r="V20">
        <v>-34.4077701024923</v>
      </c>
      <c r="W20">
        <f t="shared" si="0"/>
        <v>9.7723361393421996E-4</v>
      </c>
      <c r="X20">
        <f t="shared" si="1"/>
        <v>2.3115800572649004E-3</v>
      </c>
      <c r="Y20">
        <f t="shared" si="2"/>
        <v>-0.93270374599185657</v>
      </c>
    </row>
    <row r="21" spans="11:25" x14ac:dyDescent="0.4">
      <c r="K21">
        <v>92</v>
      </c>
      <c r="L21" t="s">
        <v>358</v>
      </c>
      <c r="M21">
        <v>3</v>
      </c>
      <c r="N21">
        <v>132312893.25</v>
      </c>
      <c r="O21">
        <v>430018962.38</v>
      </c>
      <c r="P21">
        <v>430833269.63999999</v>
      </c>
      <c r="Q21">
        <v>8216382</v>
      </c>
      <c r="R21">
        <v>3.2500155639971902</v>
      </c>
      <c r="S21">
        <v>3.2561699699662401</v>
      </c>
      <c r="T21">
        <v>16.103546944384998</v>
      </c>
      <c r="U21">
        <v>7.3139416275978097E-3</v>
      </c>
      <c r="V21">
        <v>11.692954373325099</v>
      </c>
      <c r="W21">
        <f t="shared" si="0"/>
        <v>2.3770424123859824E-2</v>
      </c>
      <c r="X21">
        <f t="shared" si="1"/>
        <v>1.4081787407395541E-3</v>
      </c>
      <c r="Y21">
        <f t="shared" si="2"/>
        <v>0.24739212469843117</v>
      </c>
    </row>
    <row r="22" spans="11:25" x14ac:dyDescent="0.4">
      <c r="K22">
        <v>102</v>
      </c>
      <c r="L22" t="s">
        <v>359</v>
      </c>
      <c r="M22">
        <v>3</v>
      </c>
      <c r="N22">
        <v>90246767.849999994</v>
      </c>
      <c r="O22">
        <v>208578330</v>
      </c>
      <c r="P22">
        <v>210921439</v>
      </c>
      <c r="Q22">
        <v>3821060</v>
      </c>
      <c r="R22">
        <v>2.31120000160759</v>
      </c>
      <c r="S22">
        <v>2.3371633580337599</v>
      </c>
      <c r="T22">
        <v>23.6182545811895</v>
      </c>
      <c r="U22">
        <v>4.9886263985408699E-3</v>
      </c>
      <c r="V22">
        <v>-42.474743455308598</v>
      </c>
      <c r="W22">
        <f t="shared" si="0"/>
        <v>1.1529713340327324E-2</v>
      </c>
      <c r="X22">
        <f t="shared" si="1"/>
        <v>1.2473021423673261E-3</v>
      </c>
      <c r="Y22">
        <f t="shared" si="2"/>
        <v>-0.28192141568670231</v>
      </c>
    </row>
    <row r="23" spans="11:25" x14ac:dyDescent="0.4">
      <c r="K23">
        <v>104</v>
      </c>
      <c r="L23" t="s">
        <v>360</v>
      </c>
      <c r="M23">
        <v>3</v>
      </c>
      <c r="N23">
        <v>25767403.84</v>
      </c>
      <c r="O23">
        <v>31735780</v>
      </c>
      <c r="P23">
        <v>32118984</v>
      </c>
      <c r="Q23">
        <v>659980</v>
      </c>
      <c r="R23">
        <v>1.23162504833859</v>
      </c>
      <c r="S23">
        <v>1.24649670566113</v>
      </c>
      <c r="T23">
        <v>39.0427040819418</v>
      </c>
      <c r="U23">
        <v>1.4243607176241599E-3</v>
      </c>
      <c r="V23">
        <v>-79.489773743901495</v>
      </c>
      <c r="W23">
        <f t="shared" si="0"/>
        <v>1.7542783376954447E-3</v>
      </c>
      <c r="X23">
        <f t="shared" si="1"/>
        <v>3.5539925037738093E-3</v>
      </c>
      <c r="Y23">
        <f t="shared" si="2"/>
        <v>-0.89059649897083459</v>
      </c>
    </row>
    <row r="24" spans="11:25" x14ac:dyDescent="0.4">
      <c r="K24">
        <v>108</v>
      </c>
      <c r="L24" t="s">
        <v>361</v>
      </c>
      <c r="M24">
        <v>3</v>
      </c>
      <c r="N24">
        <v>167652944</v>
      </c>
      <c r="O24">
        <v>386841752</v>
      </c>
      <c r="P24">
        <v>386993133</v>
      </c>
      <c r="Q24">
        <v>498732</v>
      </c>
      <c r="R24">
        <v>2.3073961170642998</v>
      </c>
      <c r="S24">
        <v>2.3082990597528599</v>
      </c>
      <c r="T24">
        <v>336.15838566604901</v>
      </c>
      <c r="U24">
        <v>9.26745546856164E-3</v>
      </c>
      <c r="V24">
        <v>-10.3877083114897</v>
      </c>
      <c r="W24">
        <f t="shared" si="0"/>
        <v>2.1383690763225438E-2</v>
      </c>
      <c r="X24">
        <f t="shared" si="1"/>
        <v>2.352522727645853E-3</v>
      </c>
      <c r="Y24">
        <f t="shared" si="2"/>
        <v>-0.2840660835804687</v>
      </c>
    </row>
    <row r="25" spans="11:25" x14ac:dyDescent="0.4">
      <c r="K25">
        <v>111</v>
      </c>
      <c r="L25" t="s">
        <v>362</v>
      </c>
      <c r="M25">
        <v>3</v>
      </c>
      <c r="N25">
        <v>151290327</v>
      </c>
      <c r="O25">
        <v>744091676.64999998</v>
      </c>
      <c r="P25">
        <v>838681940.20000005</v>
      </c>
      <c r="Q25">
        <v>13201700</v>
      </c>
      <c r="R25">
        <v>4.9183030495399702</v>
      </c>
      <c r="S25">
        <v>5.5435265216922902</v>
      </c>
      <c r="T25">
        <v>11.459912511267399</v>
      </c>
      <c r="U25">
        <v>8.3629689693765791E-3</v>
      </c>
      <c r="V25">
        <v>10.935024422243799</v>
      </c>
      <c r="W25">
        <f t="shared" si="0"/>
        <v>4.1131615785292973E-2</v>
      </c>
      <c r="X25">
        <f t="shared" si="1"/>
        <v>3.7129577703626029E-2</v>
      </c>
      <c r="Y25">
        <f t="shared" si="2"/>
        <v>1.1879891820216077</v>
      </c>
    </row>
    <row r="26" spans="11:25" x14ac:dyDescent="0.4">
      <c r="K26">
        <v>114</v>
      </c>
      <c r="L26" t="s">
        <v>17</v>
      </c>
      <c r="M26">
        <v>3</v>
      </c>
      <c r="N26">
        <v>70162056.922000006</v>
      </c>
      <c r="O26">
        <v>498016504</v>
      </c>
      <c r="P26">
        <v>494758418</v>
      </c>
      <c r="Q26">
        <v>809189</v>
      </c>
      <c r="R26">
        <v>7.0980887084546396</v>
      </c>
      <c r="S26">
        <v>7.0516521280159798</v>
      </c>
      <c r="T26">
        <v>86.706637042767497</v>
      </c>
      <c r="U26">
        <v>3.8783914114107099E-3</v>
      </c>
      <c r="V26">
        <v>48.172084169531601</v>
      </c>
      <c r="W26">
        <f t="shared" si="0"/>
        <v>2.7529166284301812E-2</v>
      </c>
      <c r="X26">
        <f t="shared" si="1"/>
        <v>7.1273837559559516E-2</v>
      </c>
      <c r="Y26">
        <f t="shared" si="2"/>
        <v>2.4169739907779544</v>
      </c>
    </row>
    <row r="27" spans="11:25" x14ac:dyDescent="0.4">
      <c r="K27">
        <v>116</v>
      </c>
      <c r="L27" t="s">
        <v>363</v>
      </c>
      <c r="M27">
        <v>3</v>
      </c>
      <c r="N27">
        <v>15674699.880000001</v>
      </c>
      <c r="O27">
        <v>68269231</v>
      </c>
      <c r="P27">
        <v>69683018</v>
      </c>
      <c r="Q27">
        <v>1200000</v>
      </c>
      <c r="R27">
        <v>4.3553772335448304</v>
      </c>
      <c r="S27">
        <v>4.4455727084708903</v>
      </c>
      <c r="T27">
        <v>13.062249899999999</v>
      </c>
      <c r="U27">
        <v>8.6646007910823504E-4</v>
      </c>
      <c r="V27">
        <v>33.972360265827</v>
      </c>
      <c r="W27">
        <f t="shared" si="0"/>
        <v>3.7737605023234594E-3</v>
      </c>
      <c r="X27">
        <f t="shared" si="1"/>
        <v>2.0659815420518029E-3</v>
      </c>
      <c r="Y27">
        <f t="shared" si="2"/>
        <v>0.87060601478888877</v>
      </c>
    </row>
    <row r="28" spans="11:25" x14ac:dyDescent="0.4">
      <c r="K28">
        <v>117</v>
      </c>
      <c r="L28" t="s">
        <v>364</v>
      </c>
      <c r="M28">
        <v>3</v>
      </c>
      <c r="N28">
        <v>59739485.340000004</v>
      </c>
      <c r="O28">
        <v>58285495</v>
      </c>
      <c r="P28">
        <v>56685415</v>
      </c>
      <c r="Q28">
        <v>2016549</v>
      </c>
      <c r="R28">
        <v>0.975661150548505</v>
      </c>
      <c r="S28">
        <v>0.94887685552330803</v>
      </c>
      <c r="T28">
        <v>29.624613803086302</v>
      </c>
      <c r="U28">
        <v>3.30225647635058E-3</v>
      </c>
      <c r="V28">
        <v>-52.205451296451898</v>
      </c>
      <c r="W28">
        <f t="shared" si="0"/>
        <v>3.2218833531224588E-3</v>
      </c>
      <c r="X28">
        <f t="shared" si="1"/>
        <v>1.1126325685247315E-2</v>
      </c>
      <c r="Y28">
        <f t="shared" si="2"/>
        <v>-1.0349114873218941</v>
      </c>
    </row>
    <row r="29" spans="11:25" x14ac:dyDescent="0.4">
      <c r="K29">
        <v>130</v>
      </c>
      <c r="L29" t="s">
        <v>365</v>
      </c>
      <c r="M29">
        <v>3</v>
      </c>
      <c r="N29">
        <v>58680312.159999996</v>
      </c>
      <c r="O29">
        <v>262916821.13999999</v>
      </c>
      <c r="P29">
        <v>263579606.09</v>
      </c>
      <c r="Q29">
        <v>5091414</v>
      </c>
      <c r="R29">
        <v>4.4804945894479999</v>
      </c>
      <c r="S29">
        <v>4.4917894330778898</v>
      </c>
      <c r="T29">
        <v>11.525346821138401</v>
      </c>
      <c r="U29">
        <v>3.243707905446E-3</v>
      </c>
      <c r="V29">
        <v>17.558165179880501</v>
      </c>
      <c r="W29">
        <f t="shared" si="0"/>
        <v>1.4533415720100508E-2</v>
      </c>
      <c r="X29">
        <f t="shared" si="1"/>
        <v>9.0384202322107959E-3</v>
      </c>
      <c r="Y29">
        <f t="shared" si="2"/>
        <v>0.94114842297837953</v>
      </c>
    </row>
    <row r="30" spans="11:25" x14ac:dyDescent="0.4">
      <c r="K30">
        <v>131</v>
      </c>
      <c r="L30" t="s">
        <v>366</v>
      </c>
      <c r="M30">
        <v>3</v>
      </c>
      <c r="N30">
        <v>24720994.5</v>
      </c>
      <c r="O30">
        <v>37324127</v>
      </c>
      <c r="P30">
        <v>37452951</v>
      </c>
      <c r="Q30">
        <v>425207</v>
      </c>
      <c r="R30">
        <v>1.50981494696744</v>
      </c>
      <c r="S30">
        <v>1.5150260641819999</v>
      </c>
      <c r="T30">
        <v>58.138728901452701</v>
      </c>
      <c r="U30">
        <v>1.36651770139692E-3</v>
      </c>
      <c r="V30">
        <v>-27.051563376578098</v>
      </c>
      <c r="W30">
        <f t="shared" si="0"/>
        <v>2.0631888508646588E-3</v>
      </c>
      <c r="X30">
        <f t="shared" si="1"/>
        <v>2.314442326691619E-3</v>
      </c>
      <c r="Y30">
        <f t="shared" si="2"/>
        <v>-0.73375027055103914</v>
      </c>
    </row>
    <row r="31" spans="11:25" x14ac:dyDescent="0.4">
      <c r="K31">
        <v>133</v>
      </c>
      <c r="L31" t="s">
        <v>367</v>
      </c>
      <c r="M31">
        <v>3</v>
      </c>
      <c r="N31">
        <v>105044917.59999999</v>
      </c>
      <c r="O31">
        <v>433631263</v>
      </c>
      <c r="P31">
        <v>441722029</v>
      </c>
      <c r="Q31">
        <v>3594461</v>
      </c>
      <c r="R31">
        <v>4.1280556252252198</v>
      </c>
      <c r="S31">
        <v>4.20507759054113</v>
      </c>
      <c r="T31">
        <v>29.224108315544299</v>
      </c>
      <c r="U31">
        <v>5.8066328740205503E-3</v>
      </c>
      <c r="V31">
        <v>13.1231416244662</v>
      </c>
      <c r="W31">
        <f t="shared" si="0"/>
        <v>2.3970103499218218E-2</v>
      </c>
      <c r="X31">
        <f t="shared" si="1"/>
        <v>1.0068886625004252E-2</v>
      </c>
      <c r="Y31">
        <f t="shared" si="2"/>
        <v>0.74243983377732803</v>
      </c>
    </row>
    <row r="32" spans="11:25" x14ac:dyDescent="0.4">
      <c r="K32">
        <v>135</v>
      </c>
      <c r="L32" t="s">
        <v>108</v>
      </c>
      <c r="M32">
        <v>3</v>
      </c>
      <c r="N32">
        <v>76278984.900000006</v>
      </c>
      <c r="O32">
        <v>47831567</v>
      </c>
      <c r="P32">
        <v>50447403</v>
      </c>
      <c r="Q32">
        <v>513044</v>
      </c>
      <c r="R32">
        <v>0.62706087479672201</v>
      </c>
      <c r="S32">
        <v>0.66135388490205205</v>
      </c>
      <c r="T32">
        <v>148.679226148244</v>
      </c>
      <c r="U32">
        <v>4.2165206221957902E-3</v>
      </c>
      <c r="V32">
        <v>-15.4000767637223</v>
      </c>
      <c r="W32">
        <f t="shared" si="0"/>
        <v>2.6440151099525106E-3</v>
      </c>
      <c r="X32">
        <f t="shared" si="1"/>
        <v>2.0115296033736244E-2</v>
      </c>
      <c r="Y32">
        <f t="shared" si="2"/>
        <v>-1.2314557858289914</v>
      </c>
    </row>
    <row r="33" spans="11:25" x14ac:dyDescent="0.4">
      <c r="K33">
        <v>141</v>
      </c>
      <c r="L33" t="s">
        <v>10</v>
      </c>
      <c r="M33">
        <v>3</v>
      </c>
      <c r="N33">
        <v>84302001</v>
      </c>
      <c r="O33">
        <v>735074406</v>
      </c>
      <c r="P33">
        <v>743314084</v>
      </c>
      <c r="Q33">
        <v>2753230</v>
      </c>
      <c r="R33">
        <v>8.7195368707796099</v>
      </c>
      <c r="S33">
        <v>8.8172768757885098</v>
      </c>
      <c r="T33">
        <v>30.619309320325499</v>
      </c>
      <c r="U33">
        <v>4.6600138448993703E-3</v>
      </c>
      <c r="V33">
        <v>14.6489466216702</v>
      </c>
      <c r="W33">
        <f t="shared" si="0"/>
        <v>4.0633162538943515E-2</v>
      </c>
      <c r="X33">
        <f t="shared" si="1"/>
        <v>0.16267222846088478</v>
      </c>
      <c r="Y33">
        <f t="shared" si="2"/>
        <v>3.3311625723633016</v>
      </c>
    </row>
    <row r="34" spans="11:25" x14ac:dyDescent="0.4">
      <c r="K34">
        <v>145</v>
      </c>
      <c r="L34" t="s">
        <v>368</v>
      </c>
      <c r="M34">
        <v>3</v>
      </c>
      <c r="N34">
        <v>66146289.299999997</v>
      </c>
      <c r="O34">
        <v>544299577</v>
      </c>
      <c r="P34">
        <v>555690281</v>
      </c>
      <c r="Q34">
        <v>7811737</v>
      </c>
      <c r="R34">
        <v>8.2287242831020002</v>
      </c>
      <c r="S34">
        <v>8.4009290147739204</v>
      </c>
      <c r="T34">
        <v>8.4675520053990496</v>
      </c>
      <c r="U34">
        <v>3.6564093410631901E-3</v>
      </c>
      <c r="V34">
        <v>16.5376042576057</v>
      </c>
      <c r="W34">
        <f t="shared" si="0"/>
        <v>3.0087584333767656E-2</v>
      </c>
      <c r="X34">
        <f t="shared" si="1"/>
        <v>0.10731288369658343</v>
      </c>
      <c r="Y34">
        <f t="shared" si="2"/>
        <v>3.0544375596377327</v>
      </c>
    </row>
    <row r="35" spans="11:25" x14ac:dyDescent="0.4">
      <c r="K35">
        <v>148</v>
      </c>
      <c r="L35" t="s">
        <v>369</v>
      </c>
      <c r="M35">
        <v>3</v>
      </c>
      <c r="N35">
        <v>95394489.599999994</v>
      </c>
      <c r="O35">
        <v>627622609</v>
      </c>
      <c r="P35">
        <v>641282437</v>
      </c>
      <c r="Q35">
        <v>2852214</v>
      </c>
      <c r="R35">
        <v>6.5792333669553997</v>
      </c>
      <c r="S35">
        <v>6.7224264178043196</v>
      </c>
      <c r="T35">
        <v>33.445768655507599</v>
      </c>
      <c r="U35">
        <v>5.2731801972661198E-3</v>
      </c>
      <c r="V35">
        <v>13.770943414745</v>
      </c>
      <c r="W35">
        <f t="shared" si="0"/>
        <v>3.4693483103821712E-2</v>
      </c>
      <c r="X35">
        <f t="shared" si="1"/>
        <v>7.4867850917430034E-2</v>
      </c>
      <c r="Y35">
        <f t="shared" si="2"/>
        <v>2.1244381948675666</v>
      </c>
    </row>
    <row r="36" spans="11:25" x14ac:dyDescent="0.4">
      <c r="K36">
        <v>150</v>
      </c>
      <c r="L36" t="s">
        <v>370</v>
      </c>
      <c r="M36">
        <v>3</v>
      </c>
      <c r="N36">
        <v>10897619</v>
      </c>
      <c r="O36">
        <v>141893205</v>
      </c>
      <c r="P36">
        <v>140648584</v>
      </c>
      <c r="Q36">
        <v>1295522</v>
      </c>
      <c r="R36">
        <v>13.020569447326</v>
      </c>
      <c r="S36">
        <v>12.9063590863288</v>
      </c>
      <c r="T36">
        <v>8.4117591210338301</v>
      </c>
      <c r="U36">
        <v>6.0239442497264596E-4</v>
      </c>
      <c r="V36">
        <v>40.743612058875399</v>
      </c>
      <c r="W36">
        <f t="shared" si="0"/>
        <v>7.8435184450383489E-3</v>
      </c>
      <c r="X36">
        <f t="shared" si="1"/>
        <v>6.2787949689974448E-2</v>
      </c>
      <c r="Y36">
        <f t="shared" si="2"/>
        <v>5.7561274660095743</v>
      </c>
    </row>
    <row r="37" spans="11:25" x14ac:dyDescent="0.4">
      <c r="K37">
        <v>152</v>
      </c>
      <c r="L37" t="s">
        <v>371</v>
      </c>
      <c r="M37">
        <v>3</v>
      </c>
      <c r="N37">
        <v>30115125</v>
      </c>
      <c r="O37">
        <v>184142174</v>
      </c>
      <c r="P37">
        <v>179652480</v>
      </c>
      <c r="Q37">
        <v>2501051</v>
      </c>
      <c r="R37">
        <v>6.1146076597722896</v>
      </c>
      <c r="S37">
        <v>5.96552330431967</v>
      </c>
      <c r="T37">
        <v>12.0409879686579</v>
      </c>
      <c r="U37">
        <v>1.66469238898463E-3</v>
      </c>
      <c r="V37">
        <v>24.509418248560099</v>
      </c>
      <c r="W37">
        <f t="shared" si="0"/>
        <v>1.017894083285005E-2</v>
      </c>
      <c r="X37">
        <f t="shared" si="1"/>
        <v>1.8165638419816311E-2</v>
      </c>
      <c r="Y37">
        <f t="shared" si="2"/>
        <v>1.8624776055085051</v>
      </c>
    </row>
    <row r="38" spans="11:25" x14ac:dyDescent="0.4">
      <c r="K38">
        <v>154</v>
      </c>
      <c r="L38" t="s">
        <v>372</v>
      </c>
      <c r="M38">
        <v>3</v>
      </c>
      <c r="N38">
        <v>36790533</v>
      </c>
      <c r="O38">
        <v>78887087</v>
      </c>
      <c r="P38">
        <v>83947006</v>
      </c>
      <c r="Q38">
        <v>724183</v>
      </c>
      <c r="R38">
        <v>2.1442224552712998</v>
      </c>
      <c r="S38">
        <v>2.28175563534238</v>
      </c>
      <c r="T38">
        <v>50.802812272588497</v>
      </c>
      <c r="U38">
        <v>2.03369304533147E-3</v>
      </c>
      <c r="V38">
        <v>-66.5240303448509</v>
      </c>
      <c r="W38">
        <f t="shared" si="0"/>
        <v>4.3606902949288118E-3</v>
      </c>
      <c r="X38">
        <f t="shared" si="1"/>
        <v>9.0478589741222501E-4</v>
      </c>
      <c r="Y38">
        <f t="shared" si="2"/>
        <v>-0.37606501508669399</v>
      </c>
    </row>
    <row r="39" spans="11:25" x14ac:dyDescent="0.4">
      <c r="K39">
        <v>155</v>
      </c>
      <c r="L39" t="s">
        <v>373</v>
      </c>
      <c r="M39">
        <v>3</v>
      </c>
      <c r="N39">
        <v>88410102</v>
      </c>
      <c r="O39">
        <v>229205169</v>
      </c>
      <c r="P39">
        <v>217854296</v>
      </c>
      <c r="Q39">
        <v>4961162</v>
      </c>
      <c r="R39">
        <v>2.5925223907105002</v>
      </c>
      <c r="S39">
        <v>2.4641335217552398</v>
      </c>
      <c r="T39">
        <v>17.820442468921499</v>
      </c>
      <c r="U39">
        <v>4.8870998844851299E-3</v>
      </c>
      <c r="V39">
        <v>-42.913668992274097</v>
      </c>
      <c r="W39">
        <f t="shared" si="0"/>
        <v>1.2669915876166398E-2</v>
      </c>
      <c r="X39">
        <f t="shared" si="1"/>
        <v>2.3376297634200577E-4</v>
      </c>
      <c r="Y39">
        <f t="shared" si="2"/>
        <v>-0.123309058019084</v>
      </c>
    </row>
    <row r="40" spans="11:25" x14ac:dyDescent="0.4">
      <c r="K40">
        <v>156</v>
      </c>
      <c r="L40" t="s">
        <v>132</v>
      </c>
      <c r="M40">
        <v>3</v>
      </c>
      <c r="N40">
        <v>76817282</v>
      </c>
      <c r="O40">
        <v>236410555</v>
      </c>
      <c r="P40">
        <v>242773352</v>
      </c>
      <c r="Q40">
        <v>2475000</v>
      </c>
      <c r="R40">
        <v>3.0775699015229399</v>
      </c>
      <c r="S40">
        <v>3.1604001818236598</v>
      </c>
      <c r="T40">
        <v>31.037285656565601</v>
      </c>
      <c r="U40">
        <v>4.2462764038962604E-3</v>
      </c>
      <c r="V40">
        <v>15.346023884761401</v>
      </c>
      <c r="W40">
        <f t="shared" si="0"/>
        <v>1.3068212454178198E-2</v>
      </c>
      <c r="X40">
        <f t="shared" si="1"/>
        <v>3.0121973239862263E-4</v>
      </c>
      <c r="Y40">
        <f t="shared" si="2"/>
        <v>0.15016554709891575</v>
      </c>
    </row>
    <row r="41" spans="11:25" x14ac:dyDescent="0.4">
      <c r="K41">
        <v>158</v>
      </c>
      <c r="L41" t="s">
        <v>374</v>
      </c>
      <c r="M41">
        <v>3</v>
      </c>
      <c r="N41">
        <v>42102950</v>
      </c>
      <c r="O41">
        <v>224247915</v>
      </c>
      <c r="P41">
        <v>223525090</v>
      </c>
      <c r="Q41">
        <v>2000000</v>
      </c>
      <c r="R41">
        <v>5.3261805882960598</v>
      </c>
      <c r="S41">
        <v>5.3090125513770401</v>
      </c>
      <c r="T41">
        <v>21.051475</v>
      </c>
      <c r="U41">
        <v>2.32735080524489E-3</v>
      </c>
      <c r="V41">
        <v>20.7285572301207</v>
      </c>
      <c r="W41">
        <f t="shared" si="0"/>
        <v>1.2395890681050537E-2</v>
      </c>
      <c r="X41">
        <f t="shared" si="1"/>
        <v>1.4720448710911653E-2</v>
      </c>
      <c r="Y41">
        <f t="shared" si="2"/>
        <v>1.4179545902781934</v>
      </c>
    </row>
    <row r="42" spans="11:25" x14ac:dyDescent="0.4">
      <c r="K42">
        <v>164</v>
      </c>
      <c r="L42" t="s">
        <v>375</v>
      </c>
      <c r="M42">
        <v>3</v>
      </c>
      <c r="N42">
        <v>79807939.200000003</v>
      </c>
      <c r="O42">
        <v>494207935</v>
      </c>
      <c r="P42">
        <v>499207924</v>
      </c>
      <c r="Q42">
        <v>2173104</v>
      </c>
      <c r="R42">
        <v>6.1924658117221503</v>
      </c>
      <c r="S42">
        <v>6.2551160824861798</v>
      </c>
      <c r="T42">
        <v>36.725319726989497</v>
      </c>
      <c r="U42">
        <v>4.4115928114789003E-3</v>
      </c>
      <c r="V42">
        <v>15.0557463635398</v>
      </c>
      <c r="W42">
        <f t="shared" si="0"/>
        <v>2.7318637660322293E-2</v>
      </c>
      <c r="X42">
        <f t="shared" si="1"/>
        <v>5.0436687076734855E-2</v>
      </c>
      <c r="Y42">
        <f t="shared" si="2"/>
        <v>1.9063748050303446</v>
      </c>
    </row>
    <row r="43" spans="11:25" x14ac:dyDescent="0.4">
      <c r="K43">
        <v>169</v>
      </c>
      <c r="L43" t="s">
        <v>376</v>
      </c>
      <c r="M43">
        <v>3</v>
      </c>
      <c r="N43">
        <v>123230045.91</v>
      </c>
      <c r="O43">
        <v>93825788</v>
      </c>
      <c r="P43">
        <v>97744440</v>
      </c>
      <c r="Q43">
        <v>4879490</v>
      </c>
      <c r="R43">
        <v>0.76138726807360602</v>
      </c>
      <c r="S43">
        <v>0.79318675310229703</v>
      </c>
      <c r="T43">
        <v>25.254697911052101</v>
      </c>
      <c r="U43">
        <v>6.8118634580000602E-3</v>
      </c>
      <c r="V43">
        <v>-36.348650169508197</v>
      </c>
      <c r="W43">
        <f t="shared" si="0"/>
        <v>5.1864661087770931E-3</v>
      </c>
      <c r="X43">
        <f t="shared" si="1"/>
        <v>2.8622441046574746E-2</v>
      </c>
      <c r="Y43">
        <f t="shared" si="2"/>
        <v>-1.1557212308844844</v>
      </c>
    </row>
    <row r="44" spans="11:25" x14ac:dyDescent="0.4">
      <c r="K44">
        <v>175</v>
      </c>
      <c r="L44" t="s">
        <v>377</v>
      </c>
      <c r="M44">
        <v>3</v>
      </c>
      <c r="N44">
        <v>139509993.24000001</v>
      </c>
      <c r="O44">
        <v>218933583</v>
      </c>
      <c r="P44">
        <v>210733391</v>
      </c>
      <c r="Q44">
        <v>3943212</v>
      </c>
      <c r="R44">
        <v>1.5693039467313701</v>
      </c>
      <c r="S44">
        <v>1.51052541904631</v>
      </c>
      <c r="T44">
        <v>35.379785119339203</v>
      </c>
      <c r="U44">
        <v>7.7117801747104099E-3</v>
      </c>
      <c r="V44">
        <v>-34.162050786995898</v>
      </c>
      <c r="W44">
        <f t="shared" si="0"/>
        <v>1.2102127064497781E-2</v>
      </c>
      <c r="X44">
        <f t="shared" si="1"/>
        <v>1.1894482197407312E-2</v>
      </c>
      <c r="Y44">
        <f t="shared" si="2"/>
        <v>-0.70020978151305613</v>
      </c>
    </row>
    <row r="45" spans="11:25" x14ac:dyDescent="0.4">
      <c r="K45">
        <v>176</v>
      </c>
      <c r="L45" t="s">
        <v>57</v>
      </c>
      <c r="M45">
        <v>3</v>
      </c>
      <c r="N45">
        <v>95849088.450000003</v>
      </c>
      <c r="O45">
        <v>289898208</v>
      </c>
      <c r="P45">
        <v>301897543</v>
      </c>
      <c r="Q45">
        <v>6297284</v>
      </c>
      <c r="R45">
        <v>3.02452754312031</v>
      </c>
      <c r="S45">
        <v>3.1497174139270498</v>
      </c>
      <c r="T45">
        <v>15.220702837921801</v>
      </c>
      <c r="U45">
        <v>5.2983093390391103E-3</v>
      </c>
      <c r="V45">
        <v>13.738247769563101</v>
      </c>
      <c r="W45">
        <f t="shared" si="0"/>
        <v>1.6024882527895353E-2</v>
      </c>
      <c r="X45">
        <f t="shared" si="1"/>
        <v>2.4105290721892694E-4</v>
      </c>
      <c r="Y45">
        <f t="shared" si="2"/>
        <v>0.12025973850216623</v>
      </c>
    </row>
    <row r="46" spans="11:25" x14ac:dyDescent="0.4">
      <c r="K46">
        <v>182</v>
      </c>
      <c r="L46" t="s">
        <v>378</v>
      </c>
      <c r="M46">
        <v>3</v>
      </c>
      <c r="N46">
        <v>33651603</v>
      </c>
      <c r="O46">
        <v>109519284</v>
      </c>
      <c r="P46">
        <v>112496912</v>
      </c>
      <c r="Q46">
        <v>1500000</v>
      </c>
      <c r="R46">
        <v>3.2545042207944701</v>
      </c>
      <c r="S46">
        <v>3.3429882077237099</v>
      </c>
      <c r="T46">
        <v>22.434401999999999</v>
      </c>
      <c r="U46">
        <v>1.8601804704855901E-3</v>
      </c>
      <c r="V46">
        <v>23.1858199883583</v>
      </c>
      <c r="W46">
        <f t="shared" si="0"/>
        <v>6.0539651926347958E-3</v>
      </c>
      <c r="X46">
        <f t="shared" si="1"/>
        <v>3.6551200522069418E-4</v>
      </c>
      <c r="Y46">
        <f t="shared" si="2"/>
        <v>0.24992287399160923</v>
      </c>
    </row>
    <row r="47" spans="11:25" x14ac:dyDescent="0.4">
      <c r="K47">
        <v>186</v>
      </c>
      <c r="L47" t="s">
        <v>379</v>
      </c>
      <c r="M47">
        <v>3</v>
      </c>
      <c r="N47">
        <v>19082000</v>
      </c>
      <c r="O47">
        <v>129190421</v>
      </c>
      <c r="P47">
        <v>129591680</v>
      </c>
      <c r="Q47">
        <v>300000</v>
      </c>
      <c r="R47">
        <v>6.7702767529608998</v>
      </c>
      <c r="S47">
        <v>6.7913048946651298</v>
      </c>
      <c r="T47">
        <v>63.606666666666598</v>
      </c>
      <c r="U47">
        <v>1.05480751504783E-3</v>
      </c>
      <c r="V47">
        <v>92.370787689409994</v>
      </c>
      <c r="W47">
        <f t="shared" si="0"/>
        <v>7.1413387979767781E-3</v>
      </c>
      <c r="X47">
        <f t="shared" si="1"/>
        <v>1.6533113873581095E-2</v>
      </c>
      <c r="Y47">
        <f t="shared" si="2"/>
        <v>2.2321503537460856</v>
      </c>
    </row>
    <row r="48" spans="11:25" x14ac:dyDescent="0.4">
      <c r="K48">
        <v>192</v>
      </c>
      <c r="L48" t="s">
        <v>380</v>
      </c>
      <c r="M48">
        <v>3</v>
      </c>
      <c r="N48">
        <v>40937774.799999997</v>
      </c>
      <c r="O48">
        <v>42741001</v>
      </c>
      <c r="P48">
        <v>43044564</v>
      </c>
      <c r="Q48">
        <v>359400</v>
      </c>
      <c r="R48">
        <v>1.04404797790816</v>
      </c>
      <c r="S48">
        <v>1.05146320752147</v>
      </c>
      <c r="T48">
        <v>113.90588425153</v>
      </c>
      <c r="U48">
        <v>2.26294269512502E-3</v>
      </c>
      <c r="V48">
        <v>-21.021476751845601</v>
      </c>
      <c r="W48">
        <f t="shared" si="0"/>
        <v>2.3626207449673189E-3</v>
      </c>
      <c r="X48">
        <f t="shared" si="1"/>
        <v>7.0670102407942564E-3</v>
      </c>
      <c r="Y48">
        <f t="shared" si="2"/>
        <v>-0.99635431469332181</v>
      </c>
    </row>
    <row r="49" spans="11:25" x14ac:dyDescent="0.4">
      <c r="K49">
        <v>196</v>
      </c>
      <c r="L49" t="s">
        <v>381</v>
      </c>
      <c r="M49">
        <v>3</v>
      </c>
      <c r="N49">
        <v>69392383.799999997</v>
      </c>
      <c r="O49">
        <v>271212865</v>
      </c>
      <c r="P49">
        <v>274704287</v>
      </c>
      <c r="Q49">
        <v>2002014</v>
      </c>
      <c r="R49">
        <v>3.9083952755057201</v>
      </c>
      <c r="S49">
        <v>3.9587094715140698</v>
      </c>
      <c r="T49">
        <v>34.661287983001102</v>
      </c>
      <c r="U49">
        <v>3.8358457142502501E-3</v>
      </c>
      <c r="V49">
        <v>16.1461667995457</v>
      </c>
      <c r="W49">
        <f t="shared" si="0"/>
        <v>1.4992001267144542E-2</v>
      </c>
      <c r="X49">
        <f t="shared" si="1"/>
        <v>4.6174892315422244E-3</v>
      </c>
      <c r="Y49">
        <f t="shared" si="2"/>
        <v>0.61859314647240005</v>
      </c>
    </row>
    <row r="50" spans="11:25" x14ac:dyDescent="0.4">
      <c r="K50">
        <v>201</v>
      </c>
      <c r="L50" t="s">
        <v>382</v>
      </c>
      <c r="M50">
        <v>3</v>
      </c>
      <c r="N50">
        <v>83939961.030000001</v>
      </c>
      <c r="O50">
        <v>118316216</v>
      </c>
      <c r="P50">
        <v>117709524</v>
      </c>
      <c r="Q50">
        <v>3657883</v>
      </c>
      <c r="R50">
        <v>1.40953384476452</v>
      </c>
      <c r="S50">
        <v>1.4023061549662901</v>
      </c>
      <c r="T50">
        <v>22.947688876325401</v>
      </c>
      <c r="U50">
        <v>4.6400011375781402E-3</v>
      </c>
      <c r="V50">
        <v>-44.041511064825002</v>
      </c>
      <c r="W50">
        <f t="shared" si="0"/>
        <v>6.5402386431622625E-3</v>
      </c>
      <c r="X50">
        <f t="shared" si="1"/>
        <v>9.1164413101913495E-3</v>
      </c>
      <c r="Y50">
        <f t="shared" si="2"/>
        <v>-0.79028975217791397</v>
      </c>
    </row>
    <row r="51" spans="11:25" x14ac:dyDescent="0.4">
      <c r="K51">
        <v>202</v>
      </c>
      <c r="L51" t="s">
        <v>383</v>
      </c>
      <c r="M51">
        <v>3</v>
      </c>
      <c r="N51">
        <v>158635976.25</v>
      </c>
      <c r="O51">
        <v>134088636</v>
      </c>
      <c r="P51">
        <v>134967178</v>
      </c>
      <c r="Q51">
        <v>980834</v>
      </c>
      <c r="R51">
        <v>0.84525994146929795</v>
      </c>
      <c r="S51">
        <v>0.85079804209923005</v>
      </c>
      <c r="T51">
        <v>161.73580468254499</v>
      </c>
      <c r="U51">
        <v>8.7690189658028092E-3</v>
      </c>
      <c r="V51">
        <v>-10.6788502226532</v>
      </c>
      <c r="W51">
        <f t="shared" si="0"/>
        <v>7.4121004577776461E-3</v>
      </c>
      <c r="X51">
        <f t="shared" si="1"/>
        <v>3.3892565479935119E-2</v>
      </c>
      <c r="Y51">
        <f t="shared" si="2"/>
        <v>-1.1084329844224854</v>
      </c>
    </row>
    <row r="52" spans="11:25" x14ac:dyDescent="0.4">
      <c r="K52">
        <v>204</v>
      </c>
      <c r="L52" t="s">
        <v>384</v>
      </c>
      <c r="M52">
        <v>3</v>
      </c>
      <c r="N52">
        <v>54853235.049999997</v>
      </c>
      <c r="O52">
        <v>257851414</v>
      </c>
      <c r="P52">
        <v>256297355</v>
      </c>
      <c r="Q52">
        <v>3077700</v>
      </c>
      <c r="R52">
        <v>4.70075126407699</v>
      </c>
      <c r="S52">
        <v>4.6724200453515401</v>
      </c>
      <c r="T52">
        <v>17.822801133963601</v>
      </c>
      <c r="U52">
        <v>3.03215619722383E-3</v>
      </c>
      <c r="V52">
        <v>18.160350036899999</v>
      </c>
      <c r="W52">
        <f t="shared" si="0"/>
        <v>1.4253412076978798E-2</v>
      </c>
      <c r="X52">
        <f t="shared" si="1"/>
        <v>1.0825688236850902E-2</v>
      </c>
      <c r="Y52">
        <f t="shared" si="2"/>
        <v>1.0653313241912434</v>
      </c>
    </row>
    <row r="53" spans="11:25" x14ac:dyDescent="0.4">
      <c r="K53">
        <v>211</v>
      </c>
      <c r="L53" t="s">
        <v>385</v>
      </c>
      <c r="M53">
        <v>3</v>
      </c>
      <c r="N53">
        <v>36932139.450000003</v>
      </c>
      <c r="O53">
        <v>100984231</v>
      </c>
      <c r="P53">
        <v>102994220</v>
      </c>
      <c r="Q53">
        <v>337764</v>
      </c>
      <c r="R53">
        <v>2.7343184690590601</v>
      </c>
      <c r="S53">
        <v>2.7887423131670199</v>
      </c>
      <c r="T53">
        <v>109.34303078480799</v>
      </c>
      <c r="U53">
        <v>2.0415207126430399E-3</v>
      </c>
      <c r="V53">
        <v>-22.132124508211302</v>
      </c>
      <c r="W53">
        <f t="shared" si="0"/>
        <v>5.5821677895464784E-3</v>
      </c>
      <c r="X53">
        <f t="shared" si="1"/>
        <v>1.2076119259494952E-5</v>
      </c>
      <c r="Y53">
        <f t="shared" si="2"/>
        <v>-4.3363020426391202E-2</v>
      </c>
    </row>
    <row r="54" spans="11:25" x14ac:dyDescent="0.4">
      <c r="K54">
        <v>213</v>
      </c>
      <c r="L54" t="s">
        <v>18</v>
      </c>
      <c r="M54">
        <v>3</v>
      </c>
      <c r="N54">
        <v>163401246</v>
      </c>
      <c r="O54">
        <v>1211626834</v>
      </c>
      <c r="P54">
        <v>1201074953</v>
      </c>
      <c r="Q54">
        <v>10174479</v>
      </c>
      <c r="R54">
        <v>7.4150403602185504</v>
      </c>
      <c r="S54">
        <v>7.3504638575399799</v>
      </c>
      <c r="T54">
        <v>16.059912846643002</v>
      </c>
      <c r="U54">
        <v>9.0324317288009298E-3</v>
      </c>
      <c r="V54">
        <v>10.5219844629547</v>
      </c>
      <c r="W54">
        <f t="shared" si="0"/>
        <v>6.6975845819977509E-2</v>
      </c>
      <c r="X54">
        <f t="shared" si="1"/>
        <v>0.19144308980986113</v>
      </c>
      <c r="Y54">
        <f t="shared" si="2"/>
        <v>2.5956744806793455</v>
      </c>
    </row>
    <row r="55" spans="11:25" x14ac:dyDescent="0.4">
      <c r="K55">
        <v>218</v>
      </c>
      <c r="L55" t="s">
        <v>386</v>
      </c>
      <c r="M55">
        <v>3</v>
      </c>
      <c r="N55">
        <v>34928437.100000001</v>
      </c>
      <c r="O55">
        <v>90841205</v>
      </c>
      <c r="P55">
        <v>168564169</v>
      </c>
      <c r="Q55">
        <v>4404400</v>
      </c>
      <c r="R55">
        <v>2.6007806973991401</v>
      </c>
      <c r="S55">
        <v>4.8259865884465798</v>
      </c>
      <c r="T55">
        <v>7.9303508082826202</v>
      </c>
      <c r="U55">
        <v>1.93076081867495E-3</v>
      </c>
      <c r="V55">
        <v>-22.758087428522401</v>
      </c>
      <c r="W55">
        <f t="shared" si="0"/>
        <v>5.0214854685043707E-3</v>
      </c>
      <c r="X55">
        <f t="shared" si="1"/>
        <v>8.5510620235734977E-5</v>
      </c>
      <c r="Y55">
        <f t="shared" si="2"/>
        <v>-0.11865294266898907</v>
      </c>
    </row>
    <row r="56" spans="11:25" x14ac:dyDescent="0.4">
      <c r="K56">
        <v>221</v>
      </c>
      <c r="L56" t="s">
        <v>387</v>
      </c>
      <c r="M56">
        <v>3</v>
      </c>
      <c r="N56">
        <v>54094448</v>
      </c>
      <c r="O56">
        <v>319202927</v>
      </c>
      <c r="P56">
        <v>320066847</v>
      </c>
      <c r="Q56">
        <v>1007826</v>
      </c>
      <c r="R56">
        <v>5.9008445192009296</v>
      </c>
      <c r="S56">
        <v>5.9168151045741304</v>
      </c>
      <c r="T56">
        <v>53.6743922065912</v>
      </c>
      <c r="U56">
        <v>2.9902122561976802E-3</v>
      </c>
      <c r="V56">
        <v>18.287274815619501</v>
      </c>
      <c r="W56">
        <f t="shared" si="0"/>
        <v>1.7644777603231528E-2</v>
      </c>
      <c r="X56">
        <f t="shared" si="1"/>
        <v>2.8543737822140793E-2</v>
      </c>
      <c r="Y56">
        <f t="shared" si="2"/>
        <v>1.7419558233049031</v>
      </c>
    </row>
    <row r="57" spans="11:25" x14ac:dyDescent="0.4">
      <c r="K57">
        <v>222</v>
      </c>
      <c r="L57" t="s">
        <v>388</v>
      </c>
      <c r="M57">
        <v>3</v>
      </c>
      <c r="N57">
        <v>79215792.375</v>
      </c>
      <c r="O57">
        <v>111289674</v>
      </c>
      <c r="P57">
        <v>112988017</v>
      </c>
      <c r="Q57">
        <v>1433581</v>
      </c>
      <c r="R57">
        <v>1.4048925178096401</v>
      </c>
      <c r="S57">
        <v>1.4263319675592601</v>
      </c>
      <c r="T57">
        <v>55.257283944890403</v>
      </c>
      <c r="U57">
        <v>4.3788603452268402E-3</v>
      </c>
      <c r="V57">
        <v>-45.335739844772903</v>
      </c>
      <c r="W57">
        <f t="shared" si="0"/>
        <v>6.1518281355425249E-3</v>
      </c>
      <c r="X57">
        <f t="shared" si="1"/>
        <v>8.660434653527456E-3</v>
      </c>
      <c r="Y57">
        <f t="shared" si="2"/>
        <v>-0.79290657842259116</v>
      </c>
    </row>
    <row r="58" spans="11:25" x14ac:dyDescent="0.4">
      <c r="K58">
        <v>225</v>
      </c>
      <c r="L58" t="s">
        <v>225</v>
      </c>
      <c r="M58">
        <v>3</v>
      </c>
      <c r="N58">
        <v>193031101.896</v>
      </c>
      <c r="O58">
        <v>152839354</v>
      </c>
      <c r="P58">
        <v>157210205</v>
      </c>
      <c r="Q58">
        <v>3403351</v>
      </c>
      <c r="R58">
        <v>0.79178615517796502</v>
      </c>
      <c r="S58">
        <v>0.81442940259803598</v>
      </c>
      <c r="T58">
        <v>56.717952951664401</v>
      </c>
      <c r="U58">
        <v>1.0670299597414499E-2</v>
      </c>
      <c r="V58">
        <v>-9.6808099256139695</v>
      </c>
      <c r="W58">
        <f t="shared" si="0"/>
        <v>8.4485954928338151E-3</v>
      </c>
      <c r="X58">
        <f t="shared" si="1"/>
        <v>4.3515083508987772E-2</v>
      </c>
      <c r="Y58">
        <f t="shared" si="2"/>
        <v>-1.1385820363487438</v>
      </c>
    </row>
    <row r="59" spans="11:25" x14ac:dyDescent="0.4">
      <c r="K59">
        <v>226</v>
      </c>
      <c r="L59" t="s">
        <v>389</v>
      </c>
      <c r="M59">
        <v>3</v>
      </c>
      <c r="N59">
        <v>170143809</v>
      </c>
      <c r="O59">
        <v>163620153</v>
      </c>
      <c r="P59">
        <v>166698502</v>
      </c>
      <c r="Q59">
        <v>376630</v>
      </c>
      <c r="R59">
        <v>0.96165798780254097</v>
      </c>
      <c r="S59">
        <v>0.97975061790229401</v>
      </c>
      <c r="T59">
        <v>451.75320340918103</v>
      </c>
      <c r="U59">
        <v>9.4051445536140199E-3</v>
      </c>
      <c r="V59">
        <v>-10.3113911727699</v>
      </c>
      <c r="W59">
        <f t="shared" si="0"/>
        <v>9.0445323864204851E-3</v>
      </c>
      <c r="X59">
        <f t="shared" si="1"/>
        <v>3.2174186715734999E-2</v>
      </c>
      <c r="Y59">
        <f t="shared" si="2"/>
        <v>-1.0428066095872186</v>
      </c>
    </row>
    <row r="60" spans="11:25" x14ac:dyDescent="0.4">
      <c r="K60">
        <v>229</v>
      </c>
      <c r="L60" t="s">
        <v>390</v>
      </c>
      <c r="M60">
        <v>3</v>
      </c>
      <c r="N60">
        <v>148106973.366</v>
      </c>
      <c r="O60">
        <v>176788651</v>
      </c>
      <c r="P60">
        <v>155436425</v>
      </c>
      <c r="Q60">
        <v>584594</v>
      </c>
      <c r="R60">
        <v>1.19365514656168</v>
      </c>
      <c r="S60">
        <v>1.0494875525940801</v>
      </c>
      <c r="T60">
        <v>253.35014277601201</v>
      </c>
      <c r="U60">
        <v>8.1870007618407795E-3</v>
      </c>
      <c r="V60">
        <v>-11.051916233952101</v>
      </c>
      <c r="W60">
        <f t="shared" si="0"/>
        <v>9.7724555942756419E-3</v>
      </c>
      <c r="X60">
        <f t="shared" si="1"/>
        <v>2.14216619638085E-2</v>
      </c>
      <c r="Y60">
        <f t="shared" si="2"/>
        <v>-0.91200430679035549</v>
      </c>
    </row>
    <row r="61" spans="11:25" x14ac:dyDescent="0.4">
      <c r="K61">
        <v>238</v>
      </c>
      <c r="L61" t="s">
        <v>391</v>
      </c>
      <c r="M61">
        <v>3</v>
      </c>
      <c r="N61">
        <v>65167826.899999999</v>
      </c>
      <c r="O61">
        <v>453061590.85000002</v>
      </c>
      <c r="P61">
        <v>451828512.99000001</v>
      </c>
      <c r="Q61">
        <v>7244223</v>
      </c>
      <c r="R61">
        <v>6.9522279996419503</v>
      </c>
      <c r="S61">
        <v>6.9333064256282499</v>
      </c>
      <c r="T61">
        <v>8.9958339079291108</v>
      </c>
      <c r="U61">
        <v>3.60232226985935E-3</v>
      </c>
      <c r="V61">
        <v>16.661293641355599</v>
      </c>
      <c r="W61">
        <f t="shared" si="0"/>
        <v>2.5044165748249917E-2</v>
      </c>
      <c r="X61">
        <f t="shared" si="1"/>
        <v>6.1772158521143067E-2</v>
      </c>
      <c r="Y61">
        <f t="shared" si="2"/>
        <v>2.3347362741510436</v>
      </c>
    </row>
    <row r="62" spans="11:25" x14ac:dyDescent="0.4">
      <c r="K62">
        <v>252</v>
      </c>
      <c r="L62" t="s">
        <v>119</v>
      </c>
      <c r="M62">
        <v>3</v>
      </c>
      <c r="N62">
        <v>59053172.799999997</v>
      </c>
      <c r="O62">
        <v>180678813</v>
      </c>
      <c r="P62">
        <v>182500659.38999999</v>
      </c>
      <c r="Q62">
        <v>1182050</v>
      </c>
      <c r="R62">
        <v>3.0595953516658398</v>
      </c>
      <c r="S62">
        <v>3.0904463001181801</v>
      </c>
      <c r="T62">
        <v>49.958269785542001</v>
      </c>
      <c r="U62">
        <v>3.2643187536347401E-3</v>
      </c>
      <c r="V62">
        <v>17.502646440060701</v>
      </c>
      <c r="W62">
        <f t="shared" si="0"/>
        <v>9.9874944849764787E-3</v>
      </c>
      <c r="X62">
        <f t="shared" si="1"/>
        <v>2.0136197464758104E-4</v>
      </c>
      <c r="Y62">
        <f t="shared" si="2"/>
        <v>0.14003131732808199</v>
      </c>
    </row>
    <row r="63" spans="11:25" x14ac:dyDescent="0.4">
      <c r="K63">
        <v>255</v>
      </c>
      <c r="L63" t="s">
        <v>392</v>
      </c>
      <c r="M63">
        <v>3</v>
      </c>
      <c r="N63">
        <v>91617807.400000006</v>
      </c>
      <c r="O63">
        <v>235328868</v>
      </c>
      <c r="P63">
        <v>238821077</v>
      </c>
      <c r="Q63">
        <v>3619291</v>
      </c>
      <c r="R63">
        <v>2.5685931008211398</v>
      </c>
      <c r="S63">
        <v>2.6067102431006202</v>
      </c>
      <c r="T63">
        <v>25.3137444322658</v>
      </c>
      <c r="U63">
        <v>5.0644141996501798E-3</v>
      </c>
      <c r="V63">
        <v>-42.155733062689002</v>
      </c>
      <c r="W63">
        <f t="shared" si="0"/>
        <v>1.3008419372922067E-2</v>
      </c>
      <c r="X63">
        <f t="shared" si="1"/>
        <v>2.9815353390437801E-4</v>
      </c>
      <c r="Y63">
        <f t="shared" si="2"/>
        <v>-0.13680062937522988</v>
      </c>
    </row>
    <row r="64" spans="11:25" x14ac:dyDescent="0.4">
      <c r="K64">
        <v>260</v>
      </c>
      <c r="L64" t="s">
        <v>393</v>
      </c>
      <c r="M64">
        <v>3</v>
      </c>
      <c r="N64">
        <v>29485212.125</v>
      </c>
      <c r="O64">
        <v>36234393</v>
      </c>
      <c r="P64">
        <v>35892509</v>
      </c>
      <c r="Q64">
        <v>2600000</v>
      </c>
      <c r="R64">
        <v>1.2289005365261501</v>
      </c>
      <c r="S64">
        <v>1.21730543595334</v>
      </c>
      <c r="T64">
        <v>11.340466201923</v>
      </c>
      <c r="U64">
        <v>1.62987230543074E-3</v>
      </c>
      <c r="V64">
        <v>-74.309521462091794</v>
      </c>
      <c r="W64">
        <f t="shared" si="0"/>
        <v>2.0029509506129493E-3</v>
      </c>
      <c r="X64">
        <f t="shared" si="1"/>
        <v>4.0808154762076599E-3</v>
      </c>
      <c r="Y64">
        <f t="shared" si="2"/>
        <v>-0.89213260579632547</v>
      </c>
    </row>
    <row r="65" spans="11:25" x14ac:dyDescent="0.4">
      <c r="K65">
        <v>277</v>
      </c>
      <c r="L65" t="s">
        <v>394</v>
      </c>
      <c r="M65">
        <v>3</v>
      </c>
      <c r="N65">
        <v>23642617.5</v>
      </c>
      <c r="O65">
        <v>85012273</v>
      </c>
      <c r="P65">
        <v>84738730</v>
      </c>
      <c r="Q65">
        <v>1149415</v>
      </c>
      <c r="R65">
        <v>3.5957217089013001</v>
      </c>
      <c r="S65">
        <v>3.5841517970673</v>
      </c>
      <c r="T65">
        <v>20.569261319888799</v>
      </c>
      <c r="U65">
        <v>1.30690758905782E-3</v>
      </c>
      <c r="V65">
        <v>27.661616760272999</v>
      </c>
      <c r="W65">
        <f t="shared" si="0"/>
        <v>4.699275989503063E-3</v>
      </c>
      <c r="X65">
        <f t="shared" si="1"/>
        <v>8.0430822252131702E-4</v>
      </c>
      <c r="Y65">
        <f t="shared" si="2"/>
        <v>0.44230468348295676</v>
      </c>
    </row>
    <row r="66" spans="11:25" x14ac:dyDescent="0.4">
      <c r="K66">
        <v>278</v>
      </c>
      <c r="L66" t="s">
        <v>395</v>
      </c>
      <c r="M66">
        <v>3</v>
      </c>
      <c r="N66">
        <v>36513180</v>
      </c>
      <c r="O66">
        <v>134459370</v>
      </c>
      <c r="P66">
        <v>136555858</v>
      </c>
      <c r="Q66">
        <v>848739</v>
      </c>
      <c r="R66">
        <v>3.6824886246555302</v>
      </c>
      <c r="S66">
        <v>3.7399059189038</v>
      </c>
      <c r="T66">
        <v>43.0205045367303</v>
      </c>
      <c r="U66">
        <v>2.0183616320246399E-3</v>
      </c>
      <c r="V66">
        <v>22.2587365385269</v>
      </c>
      <c r="W66">
        <f t="shared" si="0"/>
        <v>7.4325937503719073E-3</v>
      </c>
      <c r="X66">
        <f t="shared" si="1"/>
        <v>1.5321242417438536E-3</v>
      </c>
      <c r="Y66">
        <f t="shared" si="2"/>
        <v>0.49122473253846111</v>
      </c>
    </row>
    <row r="67" spans="11:25" x14ac:dyDescent="0.4">
      <c r="K67">
        <v>279</v>
      </c>
      <c r="L67" t="s">
        <v>396</v>
      </c>
      <c r="M67">
        <v>3</v>
      </c>
      <c r="N67">
        <v>55053697.350000001</v>
      </c>
      <c r="O67">
        <v>103507507</v>
      </c>
      <c r="P67">
        <v>98993979</v>
      </c>
      <c r="Q67">
        <v>533875</v>
      </c>
      <c r="R67">
        <v>1.8801190834097501</v>
      </c>
      <c r="S67">
        <v>1.7981349803020901</v>
      </c>
      <c r="T67">
        <v>103.120950316085</v>
      </c>
      <c r="U67">
        <v>3.04323727575458E-3</v>
      </c>
      <c r="V67">
        <v>-18.1272570232756</v>
      </c>
      <c r="W67">
        <f t="shared" si="0"/>
        <v>5.7216484774900859E-3</v>
      </c>
      <c r="X67">
        <f t="shared" si="1"/>
        <v>2.6383832598942014E-3</v>
      </c>
      <c r="Y67">
        <f t="shared" si="2"/>
        <v>-0.52496911977778693</v>
      </c>
    </row>
    <row r="68" spans="11:25" x14ac:dyDescent="0.4">
      <c r="K68">
        <v>281</v>
      </c>
      <c r="L68" t="s">
        <v>397</v>
      </c>
      <c r="M68">
        <v>3</v>
      </c>
      <c r="N68">
        <v>204637365.90000001</v>
      </c>
      <c r="O68">
        <v>462197548</v>
      </c>
      <c r="P68">
        <v>465333233</v>
      </c>
      <c r="Q68">
        <v>6104216</v>
      </c>
      <c r="R68">
        <v>2.25861755973667</v>
      </c>
      <c r="S68">
        <v>2.2739406899294901</v>
      </c>
      <c r="T68">
        <v>33.523939175808898</v>
      </c>
      <c r="U68">
        <v>1.1311866230526799E-2</v>
      </c>
      <c r="V68">
        <v>-28.206819821312799</v>
      </c>
      <c r="W68">
        <f t="shared" ref="W68:W131" si="3">R68*U68</f>
        <v>2.5549179701660082E-2</v>
      </c>
      <c r="X68">
        <f t="shared" ref="X68:X131" si="4">(R68-$W$246)^2*U68</f>
        <v>3.4544131628076562E-3</v>
      </c>
      <c r="Y68">
        <f t="shared" ref="Y68:Y131" si="5">(R68-$W$246)/$X$246</f>
        <v>-0.31156791877400608</v>
      </c>
    </row>
    <row r="69" spans="11:25" x14ac:dyDescent="0.4">
      <c r="K69">
        <v>282</v>
      </c>
      <c r="L69" t="s">
        <v>398</v>
      </c>
      <c r="M69">
        <v>3</v>
      </c>
      <c r="N69">
        <v>37709068.049999997</v>
      </c>
      <c r="O69">
        <v>100955369</v>
      </c>
      <c r="P69">
        <v>102418433</v>
      </c>
      <c r="Q69">
        <v>142298</v>
      </c>
      <c r="R69">
        <v>2.6772172907094598</v>
      </c>
      <c r="S69">
        <v>2.7160160220400802</v>
      </c>
      <c r="T69">
        <v>265.00068904692898</v>
      </c>
      <c r="U69">
        <v>2.0844674753479702E-3</v>
      </c>
      <c r="V69">
        <v>-21.902941260353501</v>
      </c>
      <c r="W69">
        <f t="shared" si="3"/>
        <v>5.5805723669230803E-3</v>
      </c>
      <c r="X69">
        <f t="shared" si="4"/>
        <v>3.7435337662539561E-5</v>
      </c>
      <c r="Y69">
        <f t="shared" si="5"/>
        <v>-7.5557232030061858E-2</v>
      </c>
    </row>
    <row r="70" spans="11:25" x14ac:dyDescent="0.4">
      <c r="K70">
        <v>289</v>
      </c>
      <c r="L70" t="s">
        <v>399</v>
      </c>
      <c r="M70">
        <v>3</v>
      </c>
      <c r="N70">
        <v>130253733.76000001</v>
      </c>
      <c r="O70">
        <v>235357499</v>
      </c>
      <c r="P70">
        <v>241876833</v>
      </c>
      <c r="Q70">
        <v>2754000</v>
      </c>
      <c r="R70">
        <v>1.80691556553503</v>
      </c>
      <c r="S70">
        <v>1.8569665990970501</v>
      </c>
      <c r="T70">
        <v>47.296199622367403</v>
      </c>
      <c r="U70">
        <v>7.2001161950051001E-3</v>
      </c>
      <c r="V70">
        <v>-35.355053777099499</v>
      </c>
      <c r="W70">
        <f t="shared" si="3"/>
        <v>1.3010002026415569E-2</v>
      </c>
      <c r="X70">
        <f t="shared" si="4"/>
        <v>7.2623671575898843E-3</v>
      </c>
      <c r="Y70">
        <f t="shared" si="5"/>
        <v>-0.56624199036835199</v>
      </c>
    </row>
    <row r="71" spans="11:25" x14ac:dyDescent="0.4">
      <c r="K71">
        <v>291</v>
      </c>
      <c r="L71" t="s">
        <v>400</v>
      </c>
      <c r="M71">
        <v>3</v>
      </c>
      <c r="N71">
        <v>18211327.605</v>
      </c>
      <c r="O71">
        <v>74246419</v>
      </c>
      <c r="P71">
        <v>76687677</v>
      </c>
      <c r="Q71">
        <v>157251</v>
      </c>
      <c r="R71">
        <v>4.0769361031985003</v>
      </c>
      <c r="S71">
        <v>4.2109877249665697</v>
      </c>
      <c r="T71">
        <v>115.810567850124</v>
      </c>
      <c r="U71">
        <v>1.0066788186118801E-3</v>
      </c>
      <c r="V71">
        <v>94.553103748998097</v>
      </c>
      <c r="W71">
        <f t="shared" si="3"/>
        <v>4.1041652199239886E-3</v>
      </c>
      <c r="X71">
        <f t="shared" si="4"/>
        <v>1.6127135874955997E-3</v>
      </c>
      <c r="Y71">
        <f t="shared" si="5"/>
        <v>0.71361813943101104</v>
      </c>
    </row>
    <row r="72" spans="11:25" x14ac:dyDescent="0.4">
      <c r="K72">
        <v>294</v>
      </c>
      <c r="L72" t="s">
        <v>401</v>
      </c>
      <c r="M72">
        <v>3</v>
      </c>
      <c r="N72">
        <v>90395819.420000002</v>
      </c>
      <c r="O72">
        <v>103788782</v>
      </c>
      <c r="P72">
        <v>104768675</v>
      </c>
      <c r="Q72">
        <v>1157827</v>
      </c>
      <c r="R72">
        <v>1.14815909259888</v>
      </c>
      <c r="S72">
        <v>1.15899911823599</v>
      </c>
      <c r="T72">
        <v>78.073684082336996</v>
      </c>
      <c r="U72">
        <v>4.99686561435503E-3</v>
      </c>
      <c r="V72">
        <v>-14.146570399573299</v>
      </c>
      <c r="W72">
        <f t="shared" si="3"/>
        <v>5.7371966896164169E-3</v>
      </c>
      <c r="X72">
        <f t="shared" si="4"/>
        <v>1.3820341415588978E-2</v>
      </c>
      <c r="Y72">
        <f t="shared" si="5"/>
        <v>-0.93765543397800755</v>
      </c>
    </row>
    <row r="73" spans="11:25" x14ac:dyDescent="0.4">
      <c r="K73">
        <v>297</v>
      </c>
      <c r="L73" t="s">
        <v>402</v>
      </c>
      <c r="M73">
        <v>3</v>
      </c>
      <c r="N73">
        <v>228647788.59999999</v>
      </c>
      <c r="O73">
        <v>727326198</v>
      </c>
      <c r="P73">
        <v>738448963</v>
      </c>
      <c r="Q73">
        <v>3379021</v>
      </c>
      <c r="R73">
        <v>3.1809894268096102</v>
      </c>
      <c r="S73">
        <v>3.2296352723176902</v>
      </c>
      <c r="T73">
        <v>67.666874103475493</v>
      </c>
      <c r="U73">
        <v>1.2639105215090001E-2</v>
      </c>
      <c r="V73">
        <v>26.684747033789598</v>
      </c>
      <c r="W73">
        <f t="shared" si="3"/>
        <v>4.0204860053535497E-2</v>
      </c>
      <c r="X73">
        <f t="shared" si="4"/>
        <v>1.7280518742644202E-3</v>
      </c>
      <c r="Y73">
        <f t="shared" si="5"/>
        <v>0.20847450283789198</v>
      </c>
    </row>
    <row r="74" spans="11:25" x14ac:dyDescent="0.4">
      <c r="K74">
        <v>299</v>
      </c>
      <c r="L74" t="s">
        <v>403</v>
      </c>
      <c r="M74">
        <v>3</v>
      </c>
      <c r="N74">
        <v>72399407.099999994</v>
      </c>
      <c r="O74">
        <v>148866093</v>
      </c>
      <c r="P74">
        <v>152037831</v>
      </c>
      <c r="Q74">
        <v>6210000</v>
      </c>
      <c r="R74">
        <v>2.05617834403508</v>
      </c>
      <c r="S74">
        <v>2.0999872387076399</v>
      </c>
      <c r="T74">
        <v>11.658519661835699</v>
      </c>
      <c r="U74">
        <v>4.0020668008640204E-3</v>
      </c>
      <c r="V74">
        <v>-47.421915027830401</v>
      </c>
      <c r="W74">
        <f t="shared" si="3"/>
        <v>8.2289630873183511E-3</v>
      </c>
      <c r="X74">
        <f t="shared" si="4"/>
        <v>2.2815853202028677E-3</v>
      </c>
      <c r="Y74">
        <f t="shared" si="5"/>
        <v>-0.42570515964276195</v>
      </c>
    </row>
    <row r="75" spans="11:25" x14ac:dyDescent="0.4">
      <c r="K75">
        <v>305</v>
      </c>
      <c r="L75" t="s">
        <v>404</v>
      </c>
      <c r="M75">
        <v>3</v>
      </c>
      <c r="N75">
        <v>36666744</v>
      </c>
      <c r="O75">
        <v>126492862</v>
      </c>
      <c r="P75">
        <v>127814270</v>
      </c>
      <c r="Q75">
        <v>2418172</v>
      </c>
      <c r="R75">
        <v>3.4497980513350099</v>
      </c>
      <c r="S75">
        <v>3.4858363753269099</v>
      </c>
      <c r="T75">
        <v>15.1630008121837</v>
      </c>
      <c r="U75">
        <v>2.0268502842225602E-3</v>
      </c>
      <c r="V75">
        <v>22.212076723153999</v>
      </c>
      <c r="W75">
        <f t="shared" si="3"/>
        <v>6.9922241608587994E-3</v>
      </c>
      <c r="X75">
        <f t="shared" si="4"/>
        <v>8.2648916395052267E-4</v>
      </c>
      <c r="Y75">
        <f t="shared" si="5"/>
        <v>0.36003147572342536</v>
      </c>
    </row>
    <row r="76" spans="11:25" x14ac:dyDescent="0.4">
      <c r="K76">
        <v>326</v>
      </c>
      <c r="L76" t="s">
        <v>405</v>
      </c>
      <c r="M76">
        <v>3</v>
      </c>
      <c r="N76">
        <v>92178825.719999999</v>
      </c>
      <c r="O76">
        <v>64758663</v>
      </c>
      <c r="P76">
        <v>65048901</v>
      </c>
      <c r="Q76">
        <v>281789</v>
      </c>
      <c r="R76">
        <v>0.70253295693643603</v>
      </c>
      <c r="S76">
        <v>0.70568159761104798</v>
      </c>
      <c r="T76">
        <v>327.12002853198601</v>
      </c>
      <c r="U76">
        <v>5.0954259562802796E-3</v>
      </c>
      <c r="V76">
        <v>-14.0090844224894</v>
      </c>
      <c r="W76">
        <f t="shared" si="3"/>
        <v>3.5797046639162518E-3</v>
      </c>
      <c r="X76">
        <f t="shared" si="4"/>
        <v>2.2657319747117613E-2</v>
      </c>
      <c r="Y76">
        <f t="shared" si="5"/>
        <v>-1.1889038761696247</v>
      </c>
    </row>
    <row r="77" spans="11:25" x14ac:dyDescent="0.4">
      <c r="K77">
        <v>327</v>
      </c>
      <c r="L77" t="s">
        <v>406</v>
      </c>
      <c r="M77">
        <v>3</v>
      </c>
      <c r="N77">
        <v>68820763.019999996</v>
      </c>
      <c r="O77">
        <v>311276526</v>
      </c>
      <c r="P77">
        <v>305714938</v>
      </c>
      <c r="Q77">
        <v>1041142</v>
      </c>
      <c r="R77">
        <v>4.5230031220307696</v>
      </c>
      <c r="S77">
        <v>4.4421904754406096</v>
      </c>
      <c r="T77">
        <v>66.101226364895396</v>
      </c>
      <c r="U77">
        <v>3.8042478788817601E-3</v>
      </c>
      <c r="V77">
        <v>48.639247928054701</v>
      </c>
      <c r="W77">
        <f t="shared" si="3"/>
        <v>1.7206625033161133E-2</v>
      </c>
      <c r="X77">
        <f t="shared" si="4"/>
        <v>1.1147093172548308E-2</v>
      </c>
      <c r="Y77">
        <f t="shared" si="5"/>
        <v>0.96511515593356367</v>
      </c>
    </row>
    <row r="78" spans="11:25" x14ac:dyDescent="0.4">
      <c r="K78">
        <v>329</v>
      </c>
      <c r="L78" t="s">
        <v>407</v>
      </c>
      <c r="M78">
        <v>3</v>
      </c>
      <c r="N78">
        <v>68814200.400000006</v>
      </c>
      <c r="O78">
        <v>320453395</v>
      </c>
      <c r="P78">
        <v>324253005</v>
      </c>
      <c r="Q78">
        <v>1345037</v>
      </c>
      <c r="R78">
        <v>4.6567916670873597</v>
      </c>
      <c r="S78">
        <v>4.7120071600802902</v>
      </c>
      <c r="T78">
        <v>51.161566856525099</v>
      </c>
      <c r="U78">
        <v>3.8038851128774499E-3</v>
      </c>
      <c r="V78">
        <v>16.213855722682499</v>
      </c>
      <c r="W78">
        <f t="shared" si="3"/>
        <v>1.771390049620537E-2</v>
      </c>
      <c r="X78">
        <f t="shared" si="4"/>
        <v>1.2956416543500568E-2</v>
      </c>
      <c r="Y78">
        <f t="shared" si="5"/>
        <v>1.0405464667084181</v>
      </c>
    </row>
    <row r="79" spans="11:25" x14ac:dyDescent="0.4">
      <c r="K79">
        <v>330</v>
      </c>
      <c r="L79" t="s">
        <v>74</v>
      </c>
      <c r="M79">
        <v>3</v>
      </c>
      <c r="N79">
        <v>69886931.400000006</v>
      </c>
      <c r="O79">
        <v>178028974</v>
      </c>
      <c r="P79">
        <v>183056125</v>
      </c>
      <c r="Q79">
        <v>2625000</v>
      </c>
      <c r="R79">
        <v>2.5473857620253102</v>
      </c>
      <c r="S79">
        <v>2.6193183951985599</v>
      </c>
      <c r="T79">
        <v>26.623592914285702</v>
      </c>
      <c r="U79">
        <v>3.8631831277828399E-3</v>
      </c>
      <c r="V79">
        <v>-48.266811119453003</v>
      </c>
      <c r="W79">
        <f t="shared" si="3"/>
        <v>9.8410176958104115E-3</v>
      </c>
      <c r="X79">
        <f t="shared" si="4"/>
        <v>2.6892910729927136E-4</v>
      </c>
      <c r="Y79">
        <f t="shared" si="5"/>
        <v>-0.14875753766464439</v>
      </c>
    </row>
    <row r="80" spans="11:25" x14ac:dyDescent="0.4">
      <c r="K80">
        <v>334</v>
      </c>
      <c r="L80" t="s">
        <v>408</v>
      </c>
      <c r="M80">
        <v>3</v>
      </c>
      <c r="N80">
        <v>71035168.900000006</v>
      </c>
      <c r="O80">
        <v>451342795</v>
      </c>
      <c r="P80">
        <v>443279738</v>
      </c>
      <c r="Q80">
        <v>3200000</v>
      </c>
      <c r="R80">
        <v>6.3537935080492201</v>
      </c>
      <c r="S80">
        <v>6.2402855495990801</v>
      </c>
      <c r="T80">
        <v>22.198490281249999</v>
      </c>
      <c r="U80">
        <v>3.9266549621848803E-3</v>
      </c>
      <c r="V80">
        <v>15.958373648392699</v>
      </c>
      <c r="W80">
        <f t="shared" si="3"/>
        <v>2.4949154807079547E-2</v>
      </c>
      <c r="X80">
        <f t="shared" si="4"/>
        <v>4.9278585424189149E-2</v>
      </c>
      <c r="Y80">
        <f t="shared" si="5"/>
        <v>1.9973329628688294</v>
      </c>
    </row>
    <row r="81" spans="11:25" x14ac:dyDescent="0.4">
      <c r="K81">
        <v>338</v>
      </c>
      <c r="L81" t="s">
        <v>409</v>
      </c>
      <c r="M81">
        <v>3</v>
      </c>
      <c r="N81">
        <v>45009659.5</v>
      </c>
      <c r="O81">
        <v>379778672</v>
      </c>
      <c r="P81">
        <v>366896127</v>
      </c>
      <c r="Q81">
        <v>2767447</v>
      </c>
      <c r="R81">
        <v>8.4377148420773995</v>
      </c>
      <c r="S81">
        <v>8.1514975024416696</v>
      </c>
      <c r="T81">
        <v>16.263964404738299</v>
      </c>
      <c r="U81">
        <v>2.48802678389812E-3</v>
      </c>
      <c r="V81">
        <v>20.048065583363801</v>
      </c>
      <c r="W81">
        <f t="shared" si="3"/>
        <v>2.0993260521983265E-2</v>
      </c>
      <c r="X81">
        <f t="shared" si="4"/>
        <v>7.8764312201329054E-2</v>
      </c>
      <c r="Y81">
        <f t="shared" si="5"/>
        <v>3.1722685129261161</v>
      </c>
    </row>
    <row r="82" spans="11:25" x14ac:dyDescent="0.4">
      <c r="K82">
        <v>346</v>
      </c>
      <c r="L82" t="s">
        <v>410</v>
      </c>
      <c r="M82">
        <v>3</v>
      </c>
      <c r="N82">
        <v>158906415.25</v>
      </c>
      <c r="O82">
        <v>41050822</v>
      </c>
      <c r="P82">
        <v>40426477</v>
      </c>
      <c r="Q82">
        <v>523737</v>
      </c>
      <c r="R82">
        <v>0.25833332112751101</v>
      </c>
      <c r="S82">
        <v>0.25440431046411099</v>
      </c>
      <c r="T82">
        <v>303.40880107764002</v>
      </c>
      <c r="U82">
        <v>8.7839681896557595E-3</v>
      </c>
      <c r="V82">
        <v>-10.6697593141384</v>
      </c>
      <c r="W82">
        <f t="shared" si="3"/>
        <v>2.269191675112183E-3</v>
      </c>
      <c r="X82">
        <f t="shared" si="4"/>
        <v>5.7247555995589616E-2</v>
      </c>
      <c r="Y82">
        <f t="shared" si="5"/>
        <v>-1.4393480435728019</v>
      </c>
    </row>
    <row r="83" spans="11:25" x14ac:dyDescent="0.4">
      <c r="K83">
        <v>348</v>
      </c>
      <c r="L83" t="s">
        <v>120</v>
      </c>
      <c r="M83">
        <v>3</v>
      </c>
      <c r="N83">
        <v>54774003.75</v>
      </c>
      <c r="O83">
        <v>95346630</v>
      </c>
      <c r="P83">
        <v>94100213</v>
      </c>
      <c r="Q83">
        <v>2574384</v>
      </c>
      <c r="R83">
        <v>1.74072778092289</v>
      </c>
      <c r="S83">
        <v>1.7179721502465399</v>
      </c>
      <c r="T83">
        <v>21.276547612943499</v>
      </c>
      <c r="U83">
        <v>3.0277764796540199E-3</v>
      </c>
      <c r="V83">
        <v>-54.520439640881001</v>
      </c>
      <c r="W83">
        <f t="shared" si="3"/>
        <v>5.270534632558662E-3</v>
      </c>
      <c r="X83">
        <f t="shared" si="4"/>
        <v>3.4697508107294035E-3</v>
      </c>
      <c r="Y83">
        <f t="shared" si="5"/>
        <v>-0.60355932085031261</v>
      </c>
    </row>
    <row r="84" spans="11:25" x14ac:dyDescent="0.4">
      <c r="K84">
        <v>356</v>
      </c>
      <c r="L84" t="s">
        <v>411</v>
      </c>
      <c r="M84">
        <v>3</v>
      </c>
      <c r="N84">
        <v>63541642.57</v>
      </c>
      <c r="O84">
        <v>72548609</v>
      </c>
      <c r="P84">
        <v>72524398</v>
      </c>
      <c r="Q84">
        <v>1133838</v>
      </c>
      <c r="R84">
        <v>1.14174903363691</v>
      </c>
      <c r="S84">
        <v>1.1413680079186499</v>
      </c>
      <c r="T84">
        <v>56.0412003919431</v>
      </c>
      <c r="U84">
        <v>3.5124306729545701E-3</v>
      </c>
      <c r="V84">
        <v>-50.6194444196056</v>
      </c>
      <c r="W84">
        <f t="shared" si="3"/>
        <v>4.0103143265625219E-3</v>
      </c>
      <c r="X84">
        <f t="shared" si="4"/>
        <v>9.7897201296889367E-3</v>
      </c>
      <c r="Y84">
        <f t="shared" si="5"/>
        <v>-0.94126948889908457</v>
      </c>
    </row>
    <row r="85" spans="11:25" x14ac:dyDescent="0.4">
      <c r="K85">
        <v>361</v>
      </c>
      <c r="L85" t="s">
        <v>412</v>
      </c>
      <c r="M85">
        <v>3</v>
      </c>
      <c r="N85">
        <v>52438285.200000003</v>
      </c>
      <c r="O85">
        <v>275163342</v>
      </c>
      <c r="P85">
        <v>280651214</v>
      </c>
      <c r="Q85">
        <v>1529125</v>
      </c>
      <c r="R85">
        <v>5.2473749084380801</v>
      </c>
      <c r="S85">
        <v>5.3520288264498701</v>
      </c>
      <c r="T85">
        <v>34.293001030000802</v>
      </c>
      <c r="U85">
        <v>2.8986635208668602E-3</v>
      </c>
      <c r="V85">
        <v>18.573814227326899</v>
      </c>
      <c r="W85">
        <f t="shared" si="3"/>
        <v>1.5210374227401543E-2</v>
      </c>
      <c r="X85">
        <f t="shared" si="4"/>
        <v>1.7203005746337131E-2</v>
      </c>
      <c r="Y85">
        <f t="shared" si="5"/>
        <v>1.3735231651088966</v>
      </c>
    </row>
    <row r="86" spans="11:25" x14ac:dyDescent="0.4">
      <c r="K86">
        <v>373</v>
      </c>
      <c r="L86" t="s">
        <v>125</v>
      </c>
      <c r="M86">
        <v>3</v>
      </c>
      <c r="N86">
        <v>156510199.75</v>
      </c>
      <c r="O86">
        <v>465305423</v>
      </c>
      <c r="P86">
        <v>463852057</v>
      </c>
      <c r="Q86">
        <v>4000000</v>
      </c>
      <c r="R86">
        <v>2.97300382814187</v>
      </c>
      <c r="S86">
        <v>2.96371774964781</v>
      </c>
      <c r="T86">
        <v>39.1275499375</v>
      </c>
      <c r="U86">
        <v>8.6515111035497996E-3</v>
      </c>
      <c r="V86">
        <v>10.751127573399</v>
      </c>
      <c r="W86">
        <f t="shared" si="3"/>
        <v>2.5720975630065448E-2</v>
      </c>
      <c r="X86">
        <f t="shared" si="4"/>
        <v>2.2641902743299284E-4</v>
      </c>
      <c r="Y86">
        <f t="shared" si="5"/>
        <v>9.1210156154366506E-2</v>
      </c>
    </row>
    <row r="87" spans="11:25" x14ac:dyDescent="0.4">
      <c r="K87">
        <v>377</v>
      </c>
      <c r="L87" t="s">
        <v>413</v>
      </c>
      <c r="M87">
        <v>3</v>
      </c>
      <c r="N87">
        <v>86087492.700000003</v>
      </c>
      <c r="O87">
        <v>146786400</v>
      </c>
      <c r="P87">
        <v>149446461</v>
      </c>
      <c r="Q87">
        <v>2015217</v>
      </c>
      <c r="R87">
        <v>1.70508392562349</v>
      </c>
      <c r="S87">
        <v>1.73598343165592</v>
      </c>
      <c r="T87">
        <v>42.718720961563903</v>
      </c>
      <c r="U87">
        <v>4.7587115738174897E-3</v>
      </c>
      <c r="V87">
        <v>-43.488713786292102</v>
      </c>
      <c r="W87">
        <f t="shared" si="3"/>
        <v>8.1140026111946612E-3</v>
      </c>
      <c r="X87">
        <f t="shared" si="4"/>
        <v>5.8225563522899971E-3</v>
      </c>
      <c r="Y87">
        <f t="shared" si="5"/>
        <v>-0.62365568055858012</v>
      </c>
    </row>
    <row r="88" spans="11:25" x14ac:dyDescent="0.4">
      <c r="K88">
        <v>381</v>
      </c>
      <c r="L88" t="s">
        <v>414</v>
      </c>
      <c r="M88">
        <v>3</v>
      </c>
      <c r="N88">
        <v>67582061.5</v>
      </c>
      <c r="O88">
        <v>297877063</v>
      </c>
      <c r="P88">
        <v>300367752</v>
      </c>
      <c r="Q88">
        <v>1350000</v>
      </c>
      <c r="R88">
        <v>4.4076350497239503</v>
      </c>
      <c r="S88">
        <v>4.4444893413024902</v>
      </c>
      <c r="T88">
        <v>50.0607862962963</v>
      </c>
      <c r="U88">
        <v>3.7357754088997298E-3</v>
      </c>
      <c r="V88">
        <v>16.360991556184299</v>
      </c>
      <c r="W88">
        <f t="shared" si="3"/>
        <v>1.646593463016327E-2</v>
      </c>
      <c r="X88">
        <f t="shared" si="4"/>
        <v>9.5206673931493326E-3</v>
      </c>
      <c r="Y88">
        <f t="shared" si="5"/>
        <v>0.90006949068628395</v>
      </c>
    </row>
    <row r="89" spans="11:25" x14ac:dyDescent="0.4">
      <c r="K89">
        <v>382</v>
      </c>
      <c r="L89" t="s">
        <v>54</v>
      </c>
      <c r="M89">
        <v>3</v>
      </c>
      <c r="N89">
        <v>143839685</v>
      </c>
      <c r="O89">
        <v>597646265</v>
      </c>
      <c r="P89">
        <v>609799064</v>
      </c>
      <c r="Q89">
        <v>7790334</v>
      </c>
      <c r="R89">
        <v>4.1549469814258799</v>
      </c>
      <c r="S89">
        <v>4.2394354798538298</v>
      </c>
      <c r="T89">
        <v>18.463866247583201</v>
      </c>
      <c r="U89">
        <v>7.9511152237770003E-3</v>
      </c>
      <c r="V89">
        <v>11.2146565149847</v>
      </c>
      <c r="W89">
        <f t="shared" si="3"/>
        <v>3.3036462198001611E-2</v>
      </c>
      <c r="X89">
        <f t="shared" si="4"/>
        <v>1.4356355078023656E-2</v>
      </c>
      <c r="Y89">
        <f t="shared" si="5"/>
        <v>0.75760144754531766</v>
      </c>
    </row>
    <row r="90" spans="11:25" x14ac:dyDescent="0.4">
      <c r="K90">
        <v>383</v>
      </c>
      <c r="L90" t="s">
        <v>415</v>
      </c>
      <c r="M90">
        <v>3</v>
      </c>
      <c r="N90">
        <v>17814755</v>
      </c>
      <c r="O90">
        <v>84394738</v>
      </c>
      <c r="P90">
        <v>86156244</v>
      </c>
      <c r="Q90">
        <v>489853</v>
      </c>
      <c r="R90">
        <v>4.7373504715613501</v>
      </c>
      <c r="S90">
        <v>4.8362295187331998</v>
      </c>
      <c r="T90">
        <v>36.367553123079702</v>
      </c>
      <c r="U90">
        <v>9.8475722946944405E-4</v>
      </c>
      <c r="V90">
        <v>31.866576674299701</v>
      </c>
      <c r="W90">
        <f t="shared" si="3"/>
        <v>4.6651401254005197E-3</v>
      </c>
      <c r="X90">
        <f t="shared" si="4"/>
        <v>3.6533934329075206E-3</v>
      </c>
      <c r="Y90">
        <f t="shared" si="5"/>
        <v>1.0859663209519783</v>
      </c>
    </row>
    <row r="91" spans="11:25" x14ac:dyDescent="0.4">
      <c r="K91">
        <v>392</v>
      </c>
      <c r="L91" t="s">
        <v>80</v>
      </c>
      <c r="M91">
        <v>3</v>
      </c>
      <c r="N91">
        <v>153927385.65000001</v>
      </c>
      <c r="O91">
        <v>307022776</v>
      </c>
      <c r="P91">
        <v>313814609</v>
      </c>
      <c r="Q91">
        <v>4378924</v>
      </c>
      <c r="R91">
        <v>1.99459488448734</v>
      </c>
      <c r="S91">
        <v>2.0387185014208602</v>
      </c>
      <c r="T91">
        <v>35.151874216131603</v>
      </c>
      <c r="U91">
        <v>8.5087392912318299E-3</v>
      </c>
      <c r="V91">
        <v>-32.522853750968999</v>
      </c>
      <c r="W91">
        <f t="shared" si="3"/>
        <v>1.6971487863727444E-2</v>
      </c>
      <c r="X91">
        <f t="shared" si="4"/>
        <v>5.6744064666295309E-3</v>
      </c>
      <c r="Y91">
        <f t="shared" si="5"/>
        <v>-0.46042652591347943</v>
      </c>
    </row>
    <row r="92" spans="11:25" x14ac:dyDescent="0.4">
      <c r="K92">
        <v>399</v>
      </c>
      <c r="L92" t="s">
        <v>416</v>
      </c>
      <c r="M92">
        <v>3</v>
      </c>
      <c r="N92">
        <v>26408051.359999999</v>
      </c>
      <c r="O92">
        <v>104294730</v>
      </c>
      <c r="P92">
        <v>103603215</v>
      </c>
      <c r="Q92">
        <v>605000</v>
      </c>
      <c r="R92">
        <v>3.9493534974706201</v>
      </c>
      <c r="S92">
        <v>3.92316773349383</v>
      </c>
      <c r="T92">
        <v>43.649671669421402</v>
      </c>
      <c r="U92">
        <v>1.45977418678844E-3</v>
      </c>
      <c r="V92">
        <v>26.173220269056301</v>
      </c>
      <c r="W92">
        <f t="shared" si="3"/>
        <v>5.7651642901102558E-3</v>
      </c>
      <c r="X92">
        <f t="shared" si="4"/>
        <v>1.8908848770004922E-3</v>
      </c>
      <c r="Y92">
        <f t="shared" si="5"/>
        <v>0.64168579890025201</v>
      </c>
    </row>
    <row r="93" spans="11:25" x14ac:dyDescent="0.4">
      <c r="K93">
        <v>405</v>
      </c>
      <c r="L93" t="s">
        <v>47</v>
      </c>
      <c r="M93">
        <v>3</v>
      </c>
      <c r="N93">
        <v>53996824</v>
      </c>
      <c r="O93">
        <v>326038000</v>
      </c>
      <c r="P93">
        <v>328321000</v>
      </c>
      <c r="Q93">
        <v>2212877</v>
      </c>
      <c r="R93">
        <v>6.0380958702311798</v>
      </c>
      <c r="S93">
        <v>6.0803761347148804</v>
      </c>
      <c r="T93">
        <v>24.401186328928301</v>
      </c>
      <c r="U93">
        <v>2.9848158339752101E-3</v>
      </c>
      <c r="V93">
        <v>18.303798664491801</v>
      </c>
      <c r="W93">
        <f t="shared" si="3"/>
        <v>1.802260416052635E-2</v>
      </c>
      <c r="X93">
        <f t="shared" si="4"/>
        <v>3.1079898303687473E-2</v>
      </c>
      <c r="Y93">
        <f t="shared" si="5"/>
        <v>1.8193394984876496</v>
      </c>
    </row>
    <row r="94" spans="11:25" x14ac:dyDescent="0.4">
      <c r="K94">
        <v>416</v>
      </c>
      <c r="L94" t="s">
        <v>417</v>
      </c>
      <c r="M94">
        <v>3</v>
      </c>
      <c r="N94">
        <v>72103165.200000003</v>
      </c>
      <c r="O94">
        <v>362816251</v>
      </c>
      <c r="P94">
        <v>360447823</v>
      </c>
      <c r="Q94">
        <v>3088644</v>
      </c>
      <c r="R94">
        <v>5.0319046326693</v>
      </c>
      <c r="S94">
        <v>4.9990568652595</v>
      </c>
      <c r="T94">
        <v>23.344602097231</v>
      </c>
      <c r="U94">
        <v>3.9856912541502603E-3</v>
      </c>
      <c r="V94">
        <v>15.839744542324301</v>
      </c>
      <c r="W94">
        <f t="shared" si="3"/>
        <v>2.0055618286148207E-2</v>
      </c>
      <c r="X94">
        <f t="shared" si="4"/>
        <v>1.9655035799398857E-2</v>
      </c>
      <c r="Y94">
        <f t="shared" si="5"/>
        <v>1.252038883122097</v>
      </c>
    </row>
    <row r="95" spans="11:25" x14ac:dyDescent="0.4">
      <c r="K95">
        <v>423</v>
      </c>
      <c r="L95" t="s">
        <v>418</v>
      </c>
      <c r="M95">
        <v>3</v>
      </c>
      <c r="N95">
        <v>11650902.539999999</v>
      </c>
      <c r="O95">
        <v>116654206</v>
      </c>
      <c r="P95">
        <v>115376333</v>
      </c>
      <c r="Q95">
        <v>2227906</v>
      </c>
      <c r="R95">
        <v>10.0124608887166</v>
      </c>
      <c r="S95">
        <v>9.9027807162482695</v>
      </c>
      <c r="T95">
        <v>5.22953057265432</v>
      </c>
      <c r="U95">
        <v>6.44034145072941E-4</v>
      </c>
      <c r="V95">
        <v>39.4044757072474</v>
      </c>
      <c r="W95">
        <f t="shared" si="3"/>
        <v>6.4483666885408542E-3</v>
      </c>
      <c r="X95">
        <f t="shared" si="4"/>
        <v>3.3398154077407011E-2</v>
      </c>
      <c r="Y95">
        <f t="shared" si="5"/>
        <v>4.060125977743235</v>
      </c>
    </row>
    <row r="96" spans="11:25" x14ac:dyDescent="0.4">
      <c r="K96">
        <v>428</v>
      </c>
      <c r="L96" t="s">
        <v>419</v>
      </c>
      <c r="M96">
        <v>3</v>
      </c>
      <c r="N96">
        <v>50494943.5</v>
      </c>
      <c r="O96">
        <v>195161141</v>
      </c>
      <c r="P96">
        <v>196121055</v>
      </c>
      <c r="Q96">
        <v>801900</v>
      </c>
      <c r="R96">
        <v>3.8649640433799002</v>
      </c>
      <c r="S96">
        <v>3.8839741448566998</v>
      </c>
      <c r="T96">
        <v>62.9691276967202</v>
      </c>
      <c r="U96">
        <v>2.7912402198781898E-3</v>
      </c>
      <c r="V96">
        <v>56.783564019634298</v>
      </c>
      <c r="W96">
        <f t="shared" si="3"/>
        <v>1.078804308626501E-2</v>
      </c>
      <c r="X96">
        <f t="shared" si="4"/>
        <v>3.099273595332735E-3</v>
      </c>
      <c r="Y96">
        <f t="shared" si="5"/>
        <v>0.59410618634863277</v>
      </c>
    </row>
    <row r="97" spans="11:25" x14ac:dyDescent="0.4">
      <c r="K97">
        <v>429</v>
      </c>
      <c r="L97" t="s">
        <v>420</v>
      </c>
      <c r="M97">
        <v>3</v>
      </c>
      <c r="N97">
        <v>18814172.850000001</v>
      </c>
      <c r="O97">
        <v>89663832</v>
      </c>
      <c r="P97">
        <v>93765119</v>
      </c>
      <c r="Q97">
        <v>718943</v>
      </c>
      <c r="R97">
        <v>4.7657599786535298</v>
      </c>
      <c r="S97">
        <v>4.9837492058546697</v>
      </c>
      <c r="T97">
        <v>26.16921348424</v>
      </c>
      <c r="U97">
        <v>1.0400026680425899E-3</v>
      </c>
      <c r="V97">
        <v>31.008643872143502</v>
      </c>
      <c r="W97">
        <f t="shared" si="3"/>
        <v>4.9564030930502679E-3</v>
      </c>
      <c r="X97">
        <f t="shared" si="4"/>
        <v>3.9730084786448417E-3</v>
      </c>
      <c r="Y97">
        <f t="shared" si="5"/>
        <v>1.1019838832741053</v>
      </c>
    </row>
    <row r="98" spans="11:25" x14ac:dyDescent="0.4">
      <c r="K98">
        <v>434</v>
      </c>
      <c r="L98" t="s">
        <v>421</v>
      </c>
      <c r="M98">
        <v>3</v>
      </c>
      <c r="N98">
        <v>37481796.600000001</v>
      </c>
      <c r="O98">
        <v>156252744</v>
      </c>
      <c r="P98">
        <v>151823766</v>
      </c>
      <c r="Q98">
        <v>946309</v>
      </c>
      <c r="R98">
        <v>4.1687634578327497</v>
      </c>
      <c r="S98">
        <v>4.0506000184633599</v>
      </c>
      <c r="T98">
        <v>39.608411840107102</v>
      </c>
      <c r="U98">
        <v>2.0719044508528501E-3</v>
      </c>
      <c r="V98">
        <v>21.9692453138953</v>
      </c>
      <c r="W98">
        <f t="shared" si="3"/>
        <v>8.6372795628363915E-3</v>
      </c>
      <c r="X98">
        <f t="shared" si="4"/>
        <v>3.8183113186102844E-3</v>
      </c>
      <c r="Y98">
        <f t="shared" si="5"/>
        <v>0.76539131419809581</v>
      </c>
    </row>
    <row r="99" spans="11:25" x14ac:dyDescent="0.4">
      <c r="K99">
        <v>435</v>
      </c>
      <c r="L99" t="s">
        <v>422</v>
      </c>
      <c r="M99">
        <v>3</v>
      </c>
      <c r="N99">
        <v>28393615</v>
      </c>
      <c r="O99">
        <v>94978894</v>
      </c>
      <c r="P99">
        <v>95810684</v>
      </c>
      <c r="Q99">
        <v>1740000</v>
      </c>
      <c r="R99">
        <v>3.3450793074428802</v>
      </c>
      <c r="S99">
        <v>3.3743742739344702</v>
      </c>
      <c r="T99">
        <v>16.3181695402298</v>
      </c>
      <c r="U99">
        <v>1.5695314160661699E-3</v>
      </c>
      <c r="V99">
        <v>25.241490338897201</v>
      </c>
      <c r="W99">
        <f t="shared" si="3"/>
        <v>5.2502070622644668E-3</v>
      </c>
      <c r="X99">
        <f t="shared" si="4"/>
        <v>4.4731011768883846E-4</v>
      </c>
      <c r="Y99">
        <f t="shared" si="5"/>
        <v>0.3009900076280928</v>
      </c>
    </row>
    <row r="100" spans="11:25" x14ac:dyDescent="0.4">
      <c r="K100">
        <v>437</v>
      </c>
      <c r="L100" t="s">
        <v>423</v>
      </c>
      <c r="M100">
        <v>3</v>
      </c>
      <c r="N100">
        <v>56125042.140000001</v>
      </c>
      <c r="O100">
        <v>164992415</v>
      </c>
      <c r="P100">
        <v>164686034</v>
      </c>
      <c r="Q100">
        <v>642806</v>
      </c>
      <c r="R100">
        <v>2.9397290177250599</v>
      </c>
      <c r="S100">
        <v>2.93427011759211</v>
      </c>
      <c r="T100">
        <v>87.312567306465695</v>
      </c>
      <c r="U100">
        <v>3.10245866427252E-3</v>
      </c>
      <c r="V100">
        <v>53.860236093257598</v>
      </c>
      <c r="W100">
        <f t="shared" si="3"/>
        <v>9.1203877616544572E-3</v>
      </c>
      <c r="X100">
        <f t="shared" si="4"/>
        <v>5.1228447146550809E-5</v>
      </c>
      <c r="Y100">
        <f t="shared" si="5"/>
        <v>7.2449487485287997E-2</v>
      </c>
    </row>
    <row r="101" spans="11:25" x14ac:dyDescent="0.4">
      <c r="K101">
        <v>461</v>
      </c>
      <c r="L101" t="s">
        <v>424</v>
      </c>
      <c r="M101">
        <v>3</v>
      </c>
      <c r="N101">
        <v>42063203.700000003</v>
      </c>
      <c r="O101">
        <v>159307587</v>
      </c>
      <c r="P101">
        <v>102170582</v>
      </c>
      <c r="Q101">
        <v>928175</v>
      </c>
      <c r="R101">
        <v>3.7873384095087301</v>
      </c>
      <c r="S101">
        <v>2.4289776577336601</v>
      </c>
      <c r="T101">
        <v>45.318182131602299</v>
      </c>
      <c r="U101">
        <v>2.3251537244391401E-3</v>
      </c>
      <c r="V101">
        <v>-20.738348316486</v>
      </c>
      <c r="W101">
        <f t="shared" si="3"/>
        <v>8.8061440085806329E-3</v>
      </c>
      <c r="X101">
        <f t="shared" si="4"/>
        <v>2.2153814415973227E-3</v>
      </c>
      <c r="Y101">
        <f t="shared" si="5"/>
        <v>0.55034008282942215</v>
      </c>
    </row>
    <row r="102" spans="11:25" x14ac:dyDescent="0.4">
      <c r="K102">
        <v>463</v>
      </c>
      <c r="L102" t="s">
        <v>425</v>
      </c>
      <c r="M102">
        <v>3</v>
      </c>
      <c r="N102">
        <v>52762032.399999999</v>
      </c>
      <c r="O102">
        <v>132569786</v>
      </c>
      <c r="P102">
        <v>129300126</v>
      </c>
      <c r="Q102">
        <v>2552539</v>
      </c>
      <c r="R102">
        <v>2.51259816898183</v>
      </c>
      <c r="S102">
        <v>2.4506282286426799</v>
      </c>
      <c r="T102">
        <v>20.670411852669002</v>
      </c>
      <c r="U102">
        <v>2.9165594950590701E-3</v>
      </c>
      <c r="V102">
        <v>-55.550226579800103</v>
      </c>
      <c r="W102">
        <f t="shared" si="3"/>
        <v>7.3281420470119899E-3</v>
      </c>
      <c r="X102">
        <f t="shared" si="4"/>
        <v>2.6010017033449725E-4</v>
      </c>
      <c r="Y102">
        <f t="shared" si="5"/>
        <v>-0.16837112820680916</v>
      </c>
    </row>
    <row r="103" spans="11:25" x14ac:dyDescent="0.4">
      <c r="K103">
        <v>464</v>
      </c>
      <c r="L103" t="s">
        <v>426</v>
      </c>
      <c r="M103">
        <v>3</v>
      </c>
      <c r="N103">
        <v>63145981.5</v>
      </c>
      <c r="O103">
        <v>78707162</v>
      </c>
      <c r="P103">
        <v>79514073</v>
      </c>
      <c r="Q103">
        <v>357380</v>
      </c>
      <c r="R103">
        <v>1.24643184143079</v>
      </c>
      <c r="S103">
        <v>1.25921034262489</v>
      </c>
      <c r="T103">
        <v>176.691425093737</v>
      </c>
      <c r="U103">
        <v>3.4905594712960502E-3</v>
      </c>
      <c r="V103">
        <v>-16.925927608991099</v>
      </c>
      <c r="W103">
        <f t="shared" si="3"/>
        <v>4.3507444694312206E-3</v>
      </c>
      <c r="X103">
        <f t="shared" si="4"/>
        <v>8.5469514495602542E-3</v>
      </c>
      <c r="Y103">
        <f t="shared" si="5"/>
        <v>-0.88224828193293892</v>
      </c>
    </row>
    <row r="104" spans="11:25" x14ac:dyDescent="0.4">
      <c r="K104">
        <v>466</v>
      </c>
      <c r="L104" t="s">
        <v>146</v>
      </c>
      <c r="M104">
        <v>3</v>
      </c>
      <c r="N104">
        <v>121585237.02</v>
      </c>
      <c r="O104">
        <v>198252853</v>
      </c>
      <c r="P104">
        <v>195467984</v>
      </c>
      <c r="Q104">
        <v>3585636</v>
      </c>
      <c r="R104">
        <v>1.63056681764241</v>
      </c>
      <c r="S104">
        <v>1.6076621536531299</v>
      </c>
      <c r="T104">
        <v>33.908973755283498</v>
      </c>
      <c r="U104">
        <v>6.7209423397740099E-3</v>
      </c>
      <c r="V104">
        <v>-36.593687075005299</v>
      </c>
      <c r="W104">
        <f t="shared" si="3"/>
        <v>1.095894556252344E-2</v>
      </c>
      <c r="X104">
        <f t="shared" si="4"/>
        <v>9.3687490039271026E-3</v>
      </c>
      <c r="Y104">
        <f t="shared" si="5"/>
        <v>-0.66566916630047734</v>
      </c>
    </row>
    <row r="105" spans="11:25" x14ac:dyDescent="0.4">
      <c r="K105">
        <v>468</v>
      </c>
      <c r="L105" t="s">
        <v>185</v>
      </c>
      <c r="M105">
        <v>3</v>
      </c>
      <c r="N105">
        <v>98252718.849999994</v>
      </c>
      <c r="O105">
        <v>200213504</v>
      </c>
      <c r="P105">
        <v>204544826</v>
      </c>
      <c r="Q105">
        <v>3080000</v>
      </c>
      <c r="R105">
        <v>2.0377400884514998</v>
      </c>
      <c r="S105">
        <v>2.08182357082935</v>
      </c>
      <c r="T105">
        <v>31.9002333928571</v>
      </c>
      <c r="U105">
        <v>5.4311763031580397E-3</v>
      </c>
      <c r="V105">
        <v>-40.707488074844797</v>
      </c>
      <c r="W105">
        <f t="shared" si="3"/>
        <v>1.1067325680392953E-2</v>
      </c>
      <c r="X105">
        <f t="shared" si="4"/>
        <v>3.2493933134384537E-3</v>
      </c>
      <c r="Y105">
        <f t="shared" si="5"/>
        <v>-0.43610083130869526</v>
      </c>
    </row>
    <row r="106" spans="11:25" x14ac:dyDescent="0.4">
      <c r="K106">
        <v>471</v>
      </c>
      <c r="L106" t="s">
        <v>67</v>
      </c>
      <c r="M106">
        <v>3</v>
      </c>
      <c r="N106">
        <v>102366420</v>
      </c>
      <c r="O106">
        <v>353316810</v>
      </c>
      <c r="P106">
        <v>353949010</v>
      </c>
      <c r="Q106">
        <v>2362075</v>
      </c>
      <c r="R106">
        <v>3.45149131912593</v>
      </c>
      <c r="S106">
        <v>3.4576671724965999</v>
      </c>
      <c r="T106">
        <v>43.337497750918097</v>
      </c>
      <c r="U106">
        <v>5.6585719056987003E-3</v>
      </c>
      <c r="V106">
        <v>13.293721632174201</v>
      </c>
      <c r="W106">
        <f t="shared" si="3"/>
        <v>1.9530511811168935E-2</v>
      </c>
      <c r="X106">
        <f t="shared" si="4"/>
        <v>2.3196501391652981E-3</v>
      </c>
      <c r="Y106">
        <f t="shared" si="5"/>
        <v>0.36098615692507768</v>
      </c>
    </row>
    <row r="107" spans="11:25" x14ac:dyDescent="0.4">
      <c r="K107">
        <v>472</v>
      </c>
      <c r="L107" t="s">
        <v>427</v>
      </c>
      <c r="M107">
        <v>3</v>
      </c>
      <c r="N107">
        <v>116736261.75</v>
      </c>
      <c r="O107">
        <v>499881956</v>
      </c>
      <c r="P107">
        <v>475936372</v>
      </c>
      <c r="Q107">
        <v>3112556</v>
      </c>
      <c r="R107">
        <v>4.2821480532804497</v>
      </c>
      <c r="S107">
        <v>4.0770225537910001</v>
      </c>
      <c r="T107">
        <v>37.504951477178203</v>
      </c>
      <c r="U107">
        <v>6.45290253498012E-3</v>
      </c>
      <c r="V107">
        <v>12.448655461102099</v>
      </c>
      <c r="W107">
        <f t="shared" si="3"/>
        <v>2.7632284028173599E-2</v>
      </c>
      <c r="X107">
        <f t="shared" si="4"/>
        <v>1.3961515053627216E-2</v>
      </c>
      <c r="Y107">
        <f t="shared" si="5"/>
        <v>0.82931867548809979</v>
      </c>
    </row>
    <row r="108" spans="11:25" x14ac:dyDescent="0.4">
      <c r="K108">
        <v>474</v>
      </c>
      <c r="L108" t="s">
        <v>81</v>
      </c>
      <c r="M108">
        <v>3</v>
      </c>
      <c r="N108">
        <v>80715104.170000002</v>
      </c>
      <c r="O108">
        <v>134849070</v>
      </c>
      <c r="P108">
        <v>108470403</v>
      </c>
      <c r="Q108">
        <v>747864</v>
      </c>
      <c r="R108">
        <v>1.6706795015216001</v>
      </c>
      <c r="S108">
        <v>1.3438674720848001</v>
      </c>
      <c r="T108">
        <v>107.927516460212</v>
      </c>
      <c r="U108">
        <v>4.4617387305515401E-3</v>
      </c>
      <c r="V108">
        <v>-14.970900788163201</v>
      </c>
      <c r="W108">
        <f t="shared" si="3"/>
        <v>7.4541354382774636E-3</v>
      </c>
      <c r="X108">
        <f t="shared" si="4"/>
        <v>5.8040687078346215E-3</v>
      </c>
      <c r="Y108">
        <f t="shared" si="5"/>
        <v>-0.64305323664502867</v>
      </c>
    </row>
    <row r="109" spans="11:25" x14ac:dyDescent="0.4">
      <c r="K109">
        <v>484</v>
      </c>
      <c r="L109" t="s">
        <v>428</v>
      </c>
      <c r="M109">
        <v>3</v>
      </c>
      <c r="N109">
        <v>65619378.799999997</v>
      </c>
      <c r="O109">
        <v>159389352</v>
      </c>
      <c r="P109">
        <v>156104700</v>
      </c>
      <c r="Q109">
        <v>1405279</v>
      </c>
      <c r="R109">
        <v>2.4289981849081399</v>
      </c>
      <c r="S109">
        <v>2.3789420572814</v>
      </c>
      <c r="T109">
        <v>46.694911686576098</v>
      </c>
      <c r="U109">
        <v>3.62728298349283E-3</v>
      </c>
      <c r="V109">
        <v>-49.811604991852001</v>
      </c>
      <c r="W109">
        <f t="shared" si="3"/>
        <v>8.810663783052267E-3</v>
      </c>
      <c r="X109">
        <f t="shared" si="4"/>
        <v>5.2994796742557033E-4</v>
      </c>
      <c r="Y109">
        <f t="shared" si="5"/>
        <v>-0.21550562972013415</v>
      </c>
    </row>
    <row r="110" spans="11:25" x14ac:dyDescent="0.4">
      <c r="K110">
        <v>485</v>
      </c>
      <c r="L110" t="s">
        <v>429</v>
      </c>
      <c r="M110">
        <v>3</v>
      </c>
      <c r="N110">
        <v>37977064.840000004</v>
      </c>
      <c r="O110">
        <v>80827760</v>
      </c>
      <c r="P110">
        <v>82995786</v>
      </c>
      <c r="Q110">
        <v>1421343</v>
      </c>
      <c r="R110">
        <v>2.1283308844570499</v>
      </c>
      <c r="S110">
        <v>2.1854186559616098</v>
      </c>
      <c r="T110">
        <v>26.7191415724424</v>
      </c>
      <c r="U110">
        <v>2.0992816996484001E-3</v>
      </c>
      <c r="V110">
        <v>-65.476566085776994</v>
      </c>
      <c r="W110">
        <f t="shared" si="3"/>
        <v>4.4679660765371788E-3</v>
      </c>
      <c r="X110">
        <f t="shared" si="4"/>
        <v>9.7900018046688758E-4</v>
      </c>
      <c r="Y110">
        <f t="shared" si="5"/>
        <v>-0.38502484058059749</v>
      </c>
    </row>
    <row r="111" spans="11:25" x14ac:dyDescent="0.4">
      <c r="K111">
        <v>490</v>
      </c>
      <c r="L111" t="s">
        <v>430</v>
      </c>
      <c r="M111">
        <v>3</v>
      </c>
      <c r="N111">
        <v>31545984.074999999</v>
      </c>
      <c r="O111">
        <v>87149035</v>
      </c>
      <c r="P111">
        <v>88244742</v>
      </c>
      <c r="Q111">
        <v>908596</v>
      </c>
      <c r="R111">
        <v>2.7626031507783901</v>
      </c>
      <c r="S111">
        <v>2.7973367953968298</v>
      </c>
      <c r="T111">
        <v>34.719483769464098</v>
      </c>
      <c r="U111">
        <v>1.7437868709720701E-3</v>
      </c>
      <c r="V111">
        <v>-71.841361284738895</v>
      </c>
      <c r="W111">
        <f t="shared" si="3"/>
        <v>4.817391104033431E-3</v>
      </c>
      <c r="X111">
        <f t="shared" si="4"/>
        <v>4.1231671356312044E-6</v>
      </c>
      <c r="Y111">
        <f t="shared" si="5"/>
        <v>-2.7415835889507439E-2</v>
      </c>
    </row>
    <row r="112" spans="11:25" x14ac:dyDescent="0.4">
      <c r="K112">
        <v>494</v>
      </c>
      <c r="L112" t="s">
        <v>431</v>
      </c>
      <c r="M112">
        <v>3</v>
      </c>
      <c r="N112">
        <v>13605489</v>
      </c>
      <c r="O112">
        <v>56733033</v>
      </c>
      <c r="P112">
        <v>55232065</v>
      </c>
      <c r="Q112">
        <v>1500000</v>
      </c>
      <c r="R112">
        <v>4.1698635749145003</v>
      </c>
      <c r="S112">
        <v>4.0595428065834298</v>
      </c>
      <c r="T112">
        <v>9.0703259999999997</v>
      </c>
      <c r="U112">
        <v>7.5207902961432803E-4</v>
      </c>
      <c r="V112">
        <v>36.464331859596797</v>
      </c>
      <c r="W112">
        <f t="shared" si="3"/>
        <v>3.1360669510458301E-3</v>
      </c>
      <c r="X112">
        <f t="shared" si="4"/>
        <v>1.3882532277460248E-3</v>
      </c>
      <c r="Y112">
        <f t="shared" si="5"/>
        <v>0.76601157113748597</v>
      </c>
    </row>
    <row r="113" spans="11:25" x14ac:dyDescent="0.4">
      <c r="K113">
        <v>498</v>
      </c>
      <c r="L113" t="s">
        <v>432</v>
      </c>
      <c r="M113">
        <v>3</v>
      </c>
      <c r="N113">
        <v>132983036.09</v>
      </c>
      <c r="O113">
        <v>137014381</v>
      </c>
      <c r="P113">
        <v>131838338</v>
      </c>
      <c r="Q113">
        <v>1008778</v>
      </c>
      <c r="R113">
        <v>1.03031473057414</v>
      </c>
      <c r="S113">
        <v>0.99139214952781396</v>
      </c>
      <c r="T113">
        <v>131.82586861529401</v>
      </c>
      <c r="U113">
        <v>7.35098552780678E-3</v>
      </c>
      <c r="V113">
        <v>-11.6634549470027</v>
      </c>
      <c r="W113">
        <f t="shared" si="3"/>
        <v>7.5738286735366452E-3</v>
      </c>
      <c r="X113">
        <f t="shared" si="4"/>
        <v>2.3314799271897495E-2</v>
      </c>
      <c r="Y113">
        <f t="shared" si="5"/>
        <v>-1.0040972559680192</v>
      </c>
    </row>
    <row r="114" spans="11:25" x14ac:dyDescent="0.4">
      <c r="K114">
        <v>505</v>
      </c>
      <c r="L114" t="s">
        <v>433</v>
      </c>
      <c r="M114">
        <v>3</v>
      </c>
      <c r="N114">
        <v>119190411</v>
      </c>
      <c r="O114">
        <v>315792580</v>
      </c>
      <c r="P114">
        <v>318125344</v>
      </c>
      <c r="Q114">
        <v>12400000</v>
      </c>
      <c r="R114">
        <v>2.6494797471585101</v>
      </c>
      <c r="S114">
        <v>2.6690514893853301</v>
      </c>
      <c r="T114">
        <v>9.61212991935483</v>
      </c>
      <c r="U114">
        <v>6.5885620608133102E-3</v>
      </c>
      <c r="V114">
        <v>-36.9594869663499</v>
      </c>
      <c r="W114">
        <f t="shared" si="3"/>
        <v>1.7456261743021801E-2</v>
      </c>
      <c r="X114">
        <f t="shared" si="4"/>
        <v>1.7237574290881574E-4</v>
      </c>
      <c r="Y114">
        <f t="shared" si="5"/>
        <v>-9.1195934632274545E-2</v>
      </c>
    </row>
    <row r="115" spans="11:25" x14ac:dyDescent="0.4">
      <c r="K115">
        <v>509</v>
      </c>
      <c r="L115" t="s">
        <v>434</v>
      </c>
      <c r="M115">
        <v>3</v>
      </c>
      <c r="N115">
        <v>22670914.5</v>
      </c>
      <c r="O115">
        <v>88825405</v>
      </c>
      <c r="P115">
        <v>90860139.079999998</v>
      </c>
      <c r="Q115">
        <v>1295200</v>
      </c>
      <c r="R115">
        <v>3.9180336108629401</v>
      </c>
      <c r="S115">
        <v>4.0077844711557598</v>
      </c>
      <c r="T115">
        <v>17.503794394688001</v>
      </c>
      <c r="U115">
        <v>1.2531941613880501E-3</v>
      </c>
      <c r="V115">
        <v>28.248202547466899</v>
      </c>
      <c r="W115">
        <f t="shared" si="3"/>
        <v>4.9100568452555759E-3</v>
      </c>
      <c r="X115">
        <f t="shared" si="4"/>
        <v>1.5351829712014246E-3</v>
      </c>
      <c r="Y115">
        <f t="shared" si="5"/>
        <v>0.62402733569521585</v>
      </c>
    </row>
    <row r="116" spans="11:25" x14ac:dyDescent="0.4">
      <c r="K116">
        <v>519</v>
      </c>
      <c r="L116" t="s">
        <v>435</v>
      </c>
      <c r="M116">
        <v>3</v>
      </c>
      <c r="N116">
        <v>81905073.25</v>
      </c>
      <c r="O116">
        <v>176017774</v>
      </c>
      <c r="P116">
        <v>175577486</v>
      </c>
      <c r="Q116">
        <v>1046701</v>
      </c>
      <c r="R116">
        <v>2.1490460482556202</v>
      </c>
      <c r="S116">
        <v>2.1436704593875602</v>
      </c>
      <c r="T116">
        <v>78.250687875525102</v>
      </c>
      <c r="U116">
        <v>4.5275173873096696E-3</v>
      </c>
      <c r="V116">
        <v>-14.861749490958299</v>
      </c>
      <c r="W116">
        <f t="shared" si="3"/>
        <v>9.7298433496064551E-3</v>
      </c>
      <c r="X116">
        <f t="shared" si="4"/>
        <v>1.9852552267230483E-3</v>
      </c>
      <c r="Y116">
        <f t="shared" si="5"/>
        <v>-0.37334542544396504</v>
      </c>
    </row>
    <row r="117" spans="11:25" x14ac:dyDescent="0.4">
      <c r="K117">
        <v>521</v>
      </c>
      <c r="L117" t="s">
        <v>436</v>
      </c>
      <c r="M117">
        <v>3</v>
      </c>
      <c r="N117">
        <v>12346793.300000001</v>
      </c>
      <c r="O117">
        <v>58666835</v>
      </c>
      <c r="P117">
        <v>57879145</v>
      </c>
      <c r="Q117">
        <v>480090</v>
      </c>
      <c r="R117">
        <v>4.7515847697879501</v>
      </c>
      <c r="S117">
        <v>4.6877876379448198</v>
      </c>
      <c r="T117">
        <v>25.717663979670402</v>
      </c>
      <c r="U117">
        <v>6.8250132897925797E-4</v>
      </c>
      <c r="V117">
        <v>38.277912849761897</v>
      </c>
      <c r="W117">
        <f t="shared" si="3"/>
        <v>3.2429629201378776E-3</v>
      </c>
      <c r="X117">
        <f t="shared" si="4"/>
        <v>2.5696037386702727E-3</v>
      </c>
      <c r="Y117">
        <f t="shared" si="5"/>
        <v>1.0939917596974138</v>
      </c>
    </row>
    <row r="118" spans="11:25" x14ac:dyDescent="0.4">
      <c r="K118">
        <v>523</v>
      </c>
      <c r="L118" t="s">
        <v>126</v>
      </c>
      <c r="M118">
        <v>3</v>
      </c>
      <c r="N118">
        <v>78556368</v>
      </c>
      <c r="O118">
        <v>238240163</v>
      </c>
      <c r="P118">
        <v>235316167</v>
      </c>
      <c r="Q118">
        <v>3248141</v>
      </c>
      <c r="R118">
        <v>3.0327288425554499</v>
      </c>
      <c r="S118">
        <v>2.9955072133681102</v>
      </c>
      <c r="T118">
        <v>24.185023987567</v>
      </c>
      <c r="U118">
        <v>4.3424089362363999E-3</v>
      </c>
      <c r="V118">
        <v>15.1752075691067</v>
      </c>
      <c r="W118">
        <f t="shared" si="3"/>
        <v>1.3169348827094659E-2</v>
      </c>
      <c r="X118">
        <f t="shared" si="4"/>
        <v>2.1304771202868757E-4</v>
      </c>
      <c r="Y118">
        <f t="shared" si="5"/>
        <v>0.12488371259642077</v>
      </c>
    </row>
    <row r="119" spans="11:25" x14ac:dyDescent="0.4">
      <c r="K119">
        <v>524</v>
      </c>
      <c r="L119" t="s">
        <v>437</v>
      </c>
      <c r="M119">
        <v>3</v>
      </c>
      <c r="N119">
        <v>34824677.049999997</v>
      </c>
      <c r="O119">
        <v>42114090</v>
      </c>
      <c r="P119">
        <v>43561078</v>
      </c>
      <c r="Q119">
        <v>329415</v>
      </c>
      <c r="R119">
        <v>1.2093174601313299</v>
      </c>
      <c r="S119">
        <v>1.25086811106551</v>
      </c>
      <c r="T119">
        <v>105.71673132674501</v>
      </c>
      <c r="U119">
        <v>1.92502521022187E-3</v>
      </c>
      <c r="V119">
        <v>-22.791966048125001</v>
      </c>
      <c r="W119">
        <f t="shared" si="3"/>
        <v>2.3279665979142913E-3</v>
      </c>
      <c r="X119">
        <f t="shared" si="4"/>
        <v>4.9398478954004793E-3</v>
      </c>
      <c r="Y119">
        <f t="shared" si="5"/>
        <v>-0.90317373880842733</v>
      </c>
    </row>
    <row r="120" spans="11:25" x14ac:dyDescent="0.4">
      <c r="K120">
        <v>539</v>
      </c>
      <c r="L120" t="s">
        <v>76</v>
      </c>
      <c r="M120">
        <v>3</v>
      </c>
      <c r="N120">
        <v>89001603.180000007</v>
      </c>
      <c r="O120">
        <v>160213511</v>
      </c>
      <c r="P120">
        <v>161808851</v>
      </c>
      <c r="Q120">
        <v>1769998</v>
      </c>
      <c r="R120">
        <v>1.8001193829731099</v>
      </c>
      <c r="S120">
        <v>1.81804422862756</v>
      </c>
      <c r="T120">
        <v>50.283448444574503</v>
      </c>
      <c r="U120">
        <v>4.9197966610192304E-3</v>
      </c>
      <c r="V120">
        <v>-42.770829986670897</v>
      </c>
      <c r="W120">
        <f t="shared" si="3"/>
        <v>8.8562213297871031E-3</v>
      </c>
      <c r="X120">
        <f t="shared" si="4"/>
        <v>5.029719741197103E-3</v>
      </c>
      <c r="Y120">
        <f t="shared" si="5"/>
        <v>-0.57007374561088042</v>
      </c>
    </row>
    <row r="121" spans="11:25" x14ac:dyDescent="0.4">
      <c r="K121">
        <v>542</v>
      </c>
      <c r="L121" t="s">
        <v>438</v>
      </c>
      <c r="M121">
        <v>3</v>
      </c>
      <c r="N121">
        <v>27334749</v>
      </c>
      <c r="O121">
        <v>22804024</v>
      </c>
      <c r="P121">
        <v>22297353</v>
      </c>
      <c r="Q121">
        <v>198415</v>
      </c>
      <c r="R121">
        <v>0.83425035291159899</v>
      </c>
      <c r="S121">
        <v>0.81571456902713801</v>
      </c>
      <c r="T121">
        <v>137.76553687977199</v>
      </c>
      <c r="U121">
        <v>1.51099982534043E-3</v>
      </c>
      <c r="V121">
        <v>-25.725735074637001</v>
      </c>
      <c r="W121">
        <f t="shared" si="3"/>
        <v>1.2605521375396182E-3</v>
      </c>
      <c r="X121">
        <f t="shared" si="4"/>
        <v>5.9056601137133574E-3</v>
      </c>
      <c r="Y121">
        <f t="shared" si="5"/>
        <v>-1.11464029982193</v>
      </c>
    </row>
    <row r="122" spans="11:25" x14ac:dyDescent="0.4">
      <c r="K122">
        <v>544</v>
      </c>
      <c r="L122" t="s">
        <v>135</v>
      </c>
      <c r="M122">
        <v>3</v>
      </c>
      <c r="N122">
        <v>82676938.680000007</v>
      </c>
      <c r="O122">
        <v>535809781</v>
      </c>
      <c r="P122">
        <v>540232095</v>
      </c>
      <c r="Q122">
        <v>12472756</v>
      </c>
      <c r="R122">
        <v>6.4807646431351804</v>
      </c>
      <c r="S122">
        <v>6.5342537305470501</v>
      </c>
      <c r="T122">
        <v>6.6286022656099401</v>
      </c>
      <c r="U122">
        <v>4.5701842700352499E-3</v>
      </c>
      <c r="V122">
        <v>14.7922127478289</v>
      </c>
      <c r="W122">
        <f t="shared" si="3"/>
        <v>2.961828862985701E-2</v>
      </c>
      <c r="X122">
        <f t="shared" si="4"/>
        <v>6.1539773086217615E-2</v>
      </c>
      <c r="Y122">
        <f t="shared" si="5"/>
        <v>2.068920550177249</v>
      </c>
    </row>
    <row r="123" spans="11:25" x14ac:dyDescent="0.4">
      <c r="K123">
        <v>550</v>
      </c>
      <c r="L123" t="s">
        <v>439</v>
      </c>
      <c r="M123">
        <v>3</v>
      </c>
      <c r="N123">
        <v>31759022.149999999</v>
      </c>
      <c r="O123">
        <v>163707630</v>
      </c>
      <c r="P123">
        <v>175315367</v>
      </c>
      <c r="Q123">
        <v>3124964</v>
      </c>
      <c r="R123">
        <v>5.1546810612366398</v>
      </c>
      <c r="S123">
        <v>5.5201752173594496</v>
      </c>
      <c r="T123">
        <v>10.1630041658079</v>
      </c>
      <c r="U123">
        <v>1.7555631083948501E-3</v>
      </c>
      <c r="V123">
        <v>23.866667185139899</v>
      </c>
      <c r="W123">
        <f t="shared" si="3"/>
        <v>9.0493679066486598E-3</v>
      </c>
      <c r="X123">
        <f t="shared" si="4"/>
        <v>9.6411430886132309E-3</v>
      </c>
      <c r="Y123">
        <f t="shared" si="5"/>
        <v>1.3212614532245854</v>
      </c>
    </row>
    <row r="124" spans="11:25" x14ac:dyDescent="0.4">
      <c r="K124">
        <v>561</v>
      </c>
      <c r="L124" t="s">
        <v>440</v>
      </c>
      <c r="M124">
        <v>3</v>
      </c>
      <c r="N124">
        <v>26328454.050000001</v>
      </c>
      <c r="O124">
        <v>103595472</v>
      </c>
      <c r="P124">
        <v>105774242</v>
      </c>
      <c r="Q124">
        <v>1063182</v>
      </c>
      <c r="R124">
        <v>3.9347343297583399</v>
      </c>
      <c r="S124">
        <v>4.0174877643451996</v>
      </c>
      <c r="T124">
        <v>24.763825995925401</v>
      </c>
      <c r="U124">
        <v>1.4553742370575101E-3</v>
      </c>
      <c r="V124">
        <v>26.21275441157</v>
      </c>
      <c r="W124">
        <f t="shared" si="3"/>
        <v>5.7265109731960374E-3</v>
      </c>
      <c r="X124">
        <f t="shared" si="4"/>
        <v>1.8370662603974623E-3</v>
      </c>
      <c r="Y124">
        <f t="shared" si="5"/>
        <v>0.63344336691544878</v>
      </c>
    </row>
    <row r="125" spans="11:25" x14ac:dyDescent="0.4">
      <c r="K125">
        <v>574</v>
      </c>
      <c r="L125" t="s">
        <v>143</v>
      </c>
      <c r="M125">
        <v>3</v>
      </c>
      <c r="N125">
        <v>25194424.079999998</v>
      </c>
      <c r="O125">
        <v>43267167</v>
      </c>
      <c r="P125">
        <v>33097393</v>
      </c>
      <c r="Q125">
        <v>413865</v>
      </c>
      <c r="R125">
        <v>1.7173310595476801</v>
      </c>
      <c r="S125">
        <v>1.3136792845474701</v>
      </c>
      <c r="T125">
        <v>60.875947664093303</v>
      </c>
      <c r="U125">
        <v>1.3926877610777699E-3</v>
      </c>
      <c r="V125">
        <v>-26.796194440008101</v>
      </c>
      <c r="W125">
        <f t="shared" si="3"/>
        <v>2.391705948350773E-3</v>
      </c>
      <c r="X125">
        <f t="shared" si="4"/>
        <v>1.6665084030309219E-3</v>
      </c>
      <c r="Y125">
        <f t="shared" si="5"/>
        <v>-0.61675062478757903</v>
      </c>
    </row>
    <row r="126" spans="11:25" x14ac:dyDescent="0.4">
      <c r="K126">
        <v>583</v>
      </c>
      <c r="L126" t="s">
        <v>441</v>
      </c>
      <c r="M126">
        <v>3</v>
      </c>
      <c r="N126">
        <v>28491296.399999999</v>
      </c>
      <c r="O126">
        <v>126313590</v>
      </c>
      <c r="P126">
        <v>125676666</v>
      </c>
      <c r="Q126">
        <v>693000</v>
      </c>
      <c r="R126">
        <v>4.43340970613046</v>
      </c>
      <c r="S126">
        <v>4.4110546686110004</v>
      </c>
      <c r="T126">
        <v>41.112981818181801</v>
      </c>
      <c r="U126">
        <v>1.5749310112239401E-3</v>
      </c>
      <c r="V126">
        <v>25.198183410414899</v>
      </c>
      <c r="W126">
        <f t="shared" si="3"/>
        <v>6.9823144316460764E-3</v>
      </c>
      <c r="X126">
        <f t="shared" si="4"/>
        <v>4.1443831937528512E-3</v>
      </c>
      <c r="Y126">
        <f t="shared" si="5"/>
        <v>0.91460149801689783</v>
      </c>
    </row>
    <row r="127" spans="11:25" x14ac:dyDescent="0.4">
      <c r="K127">
        <v>584</v>
      </c>
      <c r="L127" t="s">
        <v>40</v>
      </c>
      <c r="M127">
        <v>3</v>
      </c>
      <c r="N127">
        <v>118822510.70999999</v>
      </c>
      <c r="O127">
        <v>382012631</v>
      </c>
      <c r="P127">
        <v>370151105</v>
      </c>
      <c r="Q127">
        <v>3472481</v>
      </c>
      <c r="R127">
        <v>3.2149853484609898</v>
      </c>
      <c r="S127">
        <v>3.1151597688706998</v>
      </c>
      <c r="T127">
        <v>34.218332860568502</v>
      </c>
      <c r="U127">
        <v>6.5682254089592003E-3</v>
      </c>
      <c r="V127">
        <v>12.338886681112699</v>
      </c>
      <c r="W127">
        <f t="shared" si="3"/>
        <v>2.1116748455193023E-2</v>
      </c>
      <c r="X127">
        <f t="shared" si="4"/>
        <v>1.0707458471011257E-3</v>
      </c>
      <c r="Y127">
        <f t="shared" si="5"/>
        <v>0.22764174118462896</v>
      </c>
    </row>
    <row r="128" spans="11:25" x14ac:dyDescent="0.4">
      <c r="K128">
        <v>586</v>
      </c>
      <c r="L128" t="s">
        <v>442</v>
      </c>
      <c r="M128">
        <v>3</v>
      </c>
      <c r="N128">
        <v>25304167.420000002</v>
      </c>
      <c r="O128">
        <v>131642867</v>
      </c>
      <c r="P128">
        <v>134083426</v>
      </c>
      <c r="Q128">
        <v>1384145</v>
      </c>
      <c r="R128">
        <v>5.2024184323073799</v>
      </c>
      <c r="S128">
        <v>5.2988673278387504</v>
      </c>
      <c r="T128">
        <v>18.281442637873901</v>
      </c>
      <c r="U128">
        <v>1.39875411155248E-3</v>
      </c>
      <c r="V128">
        <v>26.7380241948646</v>
      </c>
      <c r="W128">
        <f t="shared" si="3"/>
        <v>7.2769041722063549E-3</v>
      </c>
      <c r="X128">
        <f t="shared" si="4"/>
        <v>7.9977767618981035E-3</v>
      </c>
      <c r="Y128">
        <f t="shared" si="5"/>
        <v>1.3481762572632154</v>
      </c>
    </row>
    <row r="129" spans="11:25" x14ac:dyDescent="0.4">
      <c r="K129">
        <v>591</v>
      </c>
      <c r="L129" t="s">
        <v>443</v>
      </c>
      <c r="M129">
        <v>3</v>
      </c>
      <c r="N129">
        <v>58062018.240000002</v>
      </c>
      <c r="O129">
        <v>134579456</v>
      </c>
      <c r="P129">
        <v>140040656</v>
      </c>
      <c r="Q129">
        <v>2250000</v>
      </c>
      <c r="R129">
        <v>2.3178570101320601</v>
      </c>
      <c r="S129">
        <v>2.41191505643397</v>
      </c>
      <c r="T129">
        <v>25.805341439999999</v>
      </c>
      <c r="U129">
        <v>3.2095300900532499E-3</v>
      </c>
      <c r="V129">
        <v>-52.954214330832897</v>
      </c>
      <c r="W129">
        <f t="shared" si="3"/>
        <v>7.4392318184597073E-3</v>
      </c>
      <c r="X129">
        <f t="shared" si="4"/>
        <v>7.8125127721449512E-4</v>
      </c>
      <c r="Y129">
        <f t="shared" si="5"/>
        <v>-0.27816812814906022</v>
      </c>
    </row>
    <row r="130" spans="11:25" x14ac:dyDescent="0.4">
      <c r="K130">
        <v>597</v>
      </c>
      <c r="L130" t="s">
        <v>444</v>
      </c>
      <c r="M130">
        <v>3</v>
      </c>
      <c r="N130">
        <v>89211873.280000001</v>
      </c>
      <c r="O130">
        <v>58848453</v>
      </c>
      <c r="P130">
        <v>60181466</v>
      </c>
      <c r="Q130">
        <v>1659077</v>
      </c>
      <c r="R130">
        <v>0.65964821538158303</v>
      </c>
      <c r="S130">
        <v>0.67459031838861505</v>
      </c>
      <c r="T130">
        <v>53.771990859978096</v>
      </c>
      <c r="U130">
        <v>4.9314198913760999E-3</v>
      </c>
      <c r="V130">
        <v>-42.720395375553501</v>
      </c>
      <c r="W130">
        <f t="shared" si="3"/>
        <v>3.2530023306434844E-3</v>
      </c>
      <c r="X130">
        <f t="shared" si="4"/>
        <v>2.2829025203360966E-2</v>
      </c>
      <c r="Y130">
        <f t="shared" si="5"/>
        <v>-1.213082719480576</v>
      </c>
    </row>
    <row r="131" spans="11:25" x14ac:dyDescent="0.4">
      <c r="K131">
        <v>606</v>
      </c>
      <c r="L131" t="s">
        <v>445</v>
      </c>
      <c r="M131">
        <v>3</v>
      </c>
      <c r="N131">
        <v>66203247.049999997</v>
      </c>
      <c r="O131">
        <v>371685521</v>
      </c>
      <c r="P131">
        <v>378927901</v>
      </c>
      <c r="Q131">
        <v>566448</v>
      </c>
      <c r="R131">
        <v>5.6143095325714798</v>
      </c>
      <c r="S131">
        <v>5.7237056773637498</v>
      </c>
      <c r="T131">
        <v>116.874359252746</v>
      </c>
      <c r="U131">
        <v>3.6595578298348201E-3</v>
      </c>
      <c r="V131">
        <v>49.591466068738697</v>
      </c>
      <c r="W131">
        <f t="shared" si="3"/>
        <v>2.0545890409038228E-2</v>
      </c>
      <c r="X131">
        <f t="shared" si="4"/>
        <v>2.8754095477646662E-2</v>
      </c>
      <c r="Y131">
        <f t="shared" si="5"/>
        <v>1.5804045513692333</v>
      </c>
    </row>
    <row r="132" spans="11:25" x14ac:dyDescent="0.4">
      <c r="K132">
        <v>608</v>
      </c>
      <c r="L132" t="s">
        <v>446</v>
      </c>
      <c r="M132">
        <v>3</v>
      </c>
      <c r="N132">
        <v>37270383.700000003</v>
      </c>
      <c r="O132">
        <v>79336488</v>
      </c>
      <c r="P132">
        <v>75303006</v>
      </c>
      <c r="Q132">
        <v>548884</v>
      </c>
      <c r="R132">
        <v>2.1286737651697401</v>
      </c>
      <c r="S132">
        <v>2.0204515898235802</v>
      </c>
      <c r="T132">
        <v>67.902113561335298</v>
      </c>
      <c r="U132">
        <v>2.0602180492336301E-3</v>
      </c>
      <c r="V132">
        <v>-22.0314664868968</v>
      </c>
      <c r="W132">
        <f t="shared" ref="W132:W195" si="6">R132*U132</f>
        <v>4.3855321119328087E-3</v>
      </c>
      <c r="X132">
        <f t="shared" ref="X132:X195" si="7">(R132-$W$246)^2*U132</f>
        <v>9.5981827529266223E-4</v>
      </c>
      <c r="Y132">
        <f t="shared" ref="Y132:Y195" si="8">(R132-$W$246)/$X$246</f>
        <v>-0.38483152102856338</v>
      </c>
    </row>
    <row r="133" spans="11:25" x14ac:dyDescent="0.4">
      <c r="K133">
        <v>610</v>
      </c>
      <c r="L133" t="s">
        <v>447</v>
      </c>
      <c r="M133">
        <v>3</v>
      </c>
      <c r="N133">
        <v>20584244.399999999</v>
      </c>
      <c r="O133">
        <v>44094723</v>
      </c>
      <c r="P133">
        <v>46213452</v>
      </c>
      <c r="Q133">
        <v>264000</v>
      </c>
      <c r="R133">
        <v>2.1421589320033498</v>
      </c>
      <c r="S133">
        <v>2.2450885785246499</v>
      </c>
      <c r="T133">
        <v>77.970622727272698</v>
      </c>
      <c r="U133">
        <v>1.1378480077927401E-3</v>
      </c>
      <c r="V133">
        <v>-29.6454381369822</v>
      </c>
      <c r="W133">
        <f t="shared" si="6"/>
        <v>2.4374512731554355E-3</v>
      </c>
      <c r="X133">
        <f t="shared" si="7"/>
        <v>5.093633396389039E-4</v>
      </c>
      <c r="Y133">
        <f t="shared" si="8"/>
        <v>-0.37722845000445948</v>
      </c>
    </row>
    <row r="134" spans="11:25" x14ac:dyDescent="0.4">
      <c r="K134">
        <v>615</v>
      </c>
      <c r="L134" t="s">
        <v>448</v>
      </c>
      <c r="M134">
        <v>3</v>
      </c>
      <c r="N134">
        <v>42291664.920000002</v>
      </c>
      <c r="O134">
        <v>96620399</v>
      </c>
      <c r="P134">
        <v>97040013</v>
      </c>
      <c r="Q134">
        <v>1529402</v>
      </c>
      <c r="R134">
        <v>2.2846203662771201</v>
      </c>
      <c r="S134">
        <v>2.2945422740760701</v>
      </c>
      <c r="T134">
        <v>27.652418997752001</v>
      </c>
      <c r="U134">
        <v>2.3377825165863501E-3</v>
      </c>
      <c r="V134">
        <v>-62.046773342081899</v>
      </c>
      <c r="W134">
        <f t="shared" si="6"/>
        <v>5.3409455493197543E-3</v>
      </c>
      <c r="X134">
        <f t="shared" si="7"/>
        <v>6.4830645572996686E-4</v>
      </c>
      <c r="Y134">
        <f t="shared" si="8"/>
        <v>-0.29690727813140505</v>
      </c>
    </row>
    <row r="135" spans="11:25" x14ac:dyDescent="0.4">
      <c r="K135">
        <v>620</v>
      </c>
      <c r="L135" t="s">
        <v>449</v>
      </c>
      <c r="M135">
        <v>3</v>
      </c>
      <c r="N135">
        <v>69228961.849999994</v>
      </c>
      <c r="O135">
        <v>71474318</v>
      </c>
      <c r="P135">
        <v>74245821</v>
      </c>
      <c r="Q135">
        <v>1345141</v>
      </c>
      <c r="R135">
        <v>1.0324337689024501</v>
      </c>
      <c r="S135">
        <v>1.0724676351621401</v>
      </c>
      <c r="T135">
        <v>51.465951784980099</v>
      </c>
      <c r="U135">
        <v>3.8268121380536399E-3</v>
      </c>
      <c r="V135">
        <v>-48.495638682283399</v>
      </c>
      <c r="W135">
        <f t="shared" si="6"/>
        <v>3.9509300785723622E-3</v>
      </c>
      <c r="X135">
        <f t="shared" si="7"/>
        <v>1.2108466413921251E-2</v>
      </c>
      <c r="Y135">
        <f t="shared" si="8"/>
        <v>-1.0029025211077294</v>
      </c>
    </row>
    <row r="136" spans="11:25" x14ac:dyDescent="0.4">
      <c r="K136">
        <v>622</v>
      </c>
      <c r="L136" t="s">
        <v>60</v>
      </c>
      <c r="M136">
        <v>3</v>
      </c>
      <c r="N136">
        <v>208358557.59999999</v>
      </c>
      <c r="O136">
        <v>491915642</v>
      </c>
      <c r="P136">
        <v>473964257</v>
      </c>
      <c r="Q136">
        <v>9918250</v>
      </c>
      <c r="R136">
        <v>2.3609092310206998</v>
      </c>
      <c r="S136">
        <v>2.2747530145121302</v>
      </c>
      <c r="T136">
        <v>21.0075928313966</v>
      </c>
      <c r="U136">
        <v>1.15175648454567E-2</v>
      </c>
      <c r="V136">
        <v>-27.9538043815711</v>
      </c>
      <c r="W136">
        <f t="shared" si="6"/>
        <v>2.7191925162518223E-2</v>
      </c>
      <c r="X136">
        <f t="shared" si="7"/>
        <v>2.3356245450920046E-3</v>
      </c>
      <c r="Y136">
        <f t="shared" si="8"/>
        <v>-0.25389485832595965</v>
      </c>
    </row>
    <row r="137" spans="11:25" x14ac:dyDescent="0.4">
      <c r="K137">
        <v>637</v>
      </c>
      <c r="L137" t="s">
        <v>450</v>
      </c>
      <c r="M137">
        <v>3</v>
      </c>
      <c r="N137">
        <v>47323969.994999997</v>
      </c>
      <c r="O137">
        <v>172525930</v>
      </c>
      <c r="P137">
        <v>171128864</v>
      </c>
      <c r="Q137">
        <v>2268117</v>
      </c>
      <c r="R137">
        <v>3.6456351827251199</v>
      </c>
      <c r="S137">
        <v>3.61611386403297</v>
      </c>
      <c r="T137">
        <v>20.864871607152502</v>
      </c>
      <c r="U137">
        <v>2.61595635638948E-3</v>
      </c>
      <c r="V137">
        <v>19.551710269713698</v>
      </c>
      <c r="W137">
        <f t="shared" si="6"/>
        <v>9.5368225293269004E-3</v>
      </c>
      <c r="X137">
        <f t="shared" si="7"/>
        <v>1.8213161480104907E-3</v>
      </c>
      <c r="Y137">
        <f t="shared" si="8"/>
        <v>0.47044639587144688</v>
      </c>
    </row>
    <row r="138" spans="11:25" x14ac:dyDescent="0.4">
      <c r="K138">
        <v>640</v>
      </c>
      <c r="L138" t="s">
        <v>451</v>
      </c>
      <c r="M138">
        <v>3</v>
      </c>
      <c r="N138">
        <v>116262720.34999999</v>
      </c>
      <c r="O138">
        <v>171343106</v>
      </c>
      <c r="P138">
        <v>173767782</v>
      </c>
      <c r="Q138">
        <v>1793000</v>
      </c>
      <c r="R138">
        <v>1.47375792931891</v>
      </c>
      <c r="S138">
        <v>1.4946130752564999</v>
      </c>
      <c r="T138">
        <v>64.842565727830404</v>
      </c>
      <c r="U138">
        <v>6.4267262941559797E-3</v>
      </c>
      <c r="V138">
        <v>-12.4739815644814</v>
      </c>
      <c r="W138">
        <f t="shared" si="6"/>
        <v>9.4714388355747088E-3</v>
      </c>
      <c r="X138">
        <f t="shared" si="7"/>
        <v>1.1496316521778713E-2</v>
      </c>
      <c r="Y138">
        <f t="shared" si="8"/>
        <v>-0.75407957529615199</v>
      </c>
    </row>
    <row r="139" spans="11:25" x14ac:dyDescent="0.4">
      <c r="K139">
        <v>645</v>
      </c>
      <c r="L139" t="s">
        <v>452</v>
      </c>
      <c r="M139">
        <v>3</v>
      </c>
      <c r="N139">
        <v>57076467.075000003</v>
      </c>
      <c r="O139">
        <v>62025147</v>
      </c>
      <c r="P139">
        <v>62754422</v>
      </c>
      <c r="Q139">
        <v>1308925</v>
      </c>
      <c r="R139">
        <v>1.0867026320759701</v>
      </c>
      <c r="S139">
        <v>1.0994797894119599</v>
      </c>
      <c r="T139">
        <v>43.605605420478597</v>
      </c>
      <c r="U139">
        <v>3.15505116880254E-3</v>
      </c>
      <c r="V139">
        <v>-53.4094432953137</v>
      </c>
      <c r="W139">
        <f t="shared" si="6"/>
        <v>3.4286024094720858E-3</v>
      </c>
      <c r="X139">
        <f t="shared" si="7"/>
        <v>9.3830963031865285E-3</v>
      </c>
      <c r="Y139">
        <f t="shared" si="8"/>
        <v>-0.97230519693690187</v>
      </c>
    </row>
    <row r="140" spans="11:25" x14ac:dyDescent="0.4">
      <c r="K140">
        <v>647</v>
      </c>
      <c r="L140" t="s">
        <v>453</v>
      </c>
      <c r="M140">
        <v>3</v>
      </c>
      <c r="N140">
        <v>137208652</v>
      </c>
      <c r="O140">
        <v>546290151</v>
      </c>
      <c r="P140">
        <v>554466602</v>
      </c>
      <c r="Q140">
        <v>4354986</v>
      </c>
      <c r="R140">
        <v>3.9814555644785399</v>
      </c>
      <c r="S140">
        <v>4.0410469304807304</v>
      </c>
      <c r="T140">
        <v>31.506106334210902</v>
      </c>
      <c r="U140">
        <v>7.5845675117483802E-3</v>
      </c>
      <c r="V140">
        <v>11.482450695731099</v>
      </c>
      <c r="W140">
        <f t="shared" si="6"/>
        <v>3.0197618523813741E-2</v>
      </c>
      <c r="X140">
        <f t="shared" si="7"/>
        <v>1.0386532778810865E-2</v>
      </c>
      <c r="Y140">
        <f t="shared" si="8"/>
        <v>0.65978526318522002</v>
      </c>
    </row>
    <row r="141" spans="11:25" x14ac:dyDescent="0.4">
      <c r="K141">
        <v>658</v>
      </c>
      <c r="L141" t="s">
        <v>454</v>
      </c>
      <c r="M141">
        <v>3</v>
      </c>
      <c r="N141">
        <v>147474081.53</v>
      </c>
      <c r="O141">
        <v>188365422</v>
      </c>
      <c r="P141">
        <v>189638464</v>
      </c>
      <c r="Q141">
        <v>1951820</v>
      </c>
      <c r="R141">
        <v>1.2772781497993699</v>
      </c>
      <c r="S141">
        <v>1.28591045987577</v>
      </c>
      <c r="T141">
        <v>75.557214051500594</v>
      </c>
      <c r="U141">
        <v>8.1520160084173898E-3</v>
      </c>
      <c r="V141">
        <v>-11.0756057496257</v>
      </c>
      <c r="W141">
        <f t="shared" si="6"/>
        <v>1.0412391924366209E-2</v>
      </c>
      <c r="X141">
        <f t="shared" si="7"/>
        <v>1.9181740539960791E-2</v>
      </c>
      <c r="Y141">
        <f t="shared" si="8"/>
        <v>-0.86485682684369225</v>
      </c>
    </row>
    <row r="142" spans="11:25" x14ac:dyDescent="0.4">
      <c r="K142">
        <v>661</v>
      </c>
      <c r="L142" t="s">
        <v>455</v>
      </c>
      <c r="M142">
        <v>3</v>
      </c>
      <c r="N142">
        <v>53552271.509999998</v>
      </c>
      <c r="O142">
        <v>66204402</v>
      </c>
      <c r="P142">
        <v>67663684</v>
      </c>
      <c r="Q142">
        <v>1828039</v>
      </c>
      <c r="R142">
        <v>1.2362575878342901</v>
      </c>
      <c r="S142">
        <v>1.2635072629433599</v>
      </c>
      <c r="T142">
        <v>29.294928341244301</v>
      </c>
      <c r="U142">
        <v>2.9602420310570099E-3</v>
      </c>
      <c r="V142">
        <v>-55.138842427386201</v>
      </c>
      <c r="W142">
        <f t="shared" si="6"/>
        <v>3.6596216727202186E-3</v>
      </c>
      <c r="X142">
        <f t="shared" si="7"/>
        <v>7.3429854539773139E-3</v>
      </c>
      <c r="Y142">
        <f t="shared" si="8"/>
        <v>-0.8879846271829388</v>
      </c>
    </row>
    <row r="143" spans="11:25" x14ac:dyDescent="0.4">
      <c r="K143">
        <v>677</v>
      </c>
      <c r="L143" t="s">
        <v>456</v>
      </c>
      <c r="M143">
        <v>3</v>
      </c>
      <c r="N143">
        <v>18132408.399999999</v>
      </c>
      <c r="O143">
        <v>91915153</v>
      </c>
      <c r="P143">
        <v>91853521</v>
      </c>
      <c r="Q143">
        <v>15531</v>
      </c>
      <c r="R143">
        <v>5.0691089110920302</v>
      </c>
      <c r="S143">
        <v>5.0657099141887798</v>
      </c>
      <c r="T143">
        <v>1167.4978043912099</v>
      </c>
      <c r="U143">
        <v>1.0023163529104E-3</v>
      </c>
      <c r="V143">
        <v>94.758646052097703</v>
      </c>
      <c r="W143">
        <f t="shared" si="6"/>
        <v>5.0808507562713724E-3</v>
      </c>
      <c r="X143">
        <f t="shared" si="7"/>
        <v>5.1098297151882374E-3</v>
      </c>
      <c r="Y143">
        <f t="shared" si="8"/>
        <v>1.2730150248887344</v>
      </c>
    </row>
    <row r="144" spans="11:25" x14ac:dyDescent="0.4">
      <c r="K144">
        <v>678</v>
      </c>
      <c r="L144" t="s">
        <v>19</v>
      </c>
      <c r="M144">
        <v>3</v>
      </c>
      <c r="N144">
        <v>98981074.549999997</v>
      </c>
      <c r="O144">
        <v>288068848</v>
      </c>
      <c r="P144">
        <v>307812590</v>
      </c>
      <c r="Q144">
        <v>2978061</v>
      </c>
      <c r="R144">
        <v>2.9103427024777599</v>
      </c>
      <c r="S144">
        <v>3.1098125717407599</v>
      </c>
      <c r="T144">
        <v>33.236751883188397</v>
      </c>
      <c r="U144">
        <v>5.4714380716303097E-3</v>
      </c>
      <c r="V144">
        <v>13.5191459300008</v>
      </c>
      <c r="W144">
        <f t="shared" si="6"/>
        <v>1.5923759863828258E-2</v>
      </c>
      <c r="X144">
        <f t="shared" si="7"/>
        <v>5.3748623730161305E-5</v>
      </c>
      <c r="Y144">
        <f t="shared" si="8"/>
        <v>5.5881191021571137E-2</v>
      </c>
    </row>
    <row r="145" spans="11:25" x14ac:dyDescent="0.4">
      <c r="K145">
        <v>679</v>
      </c>
      <c r="L145" t="s">
        <v>457</v>
      </c>
      <c r="M145">
        <v>3</v>
      </c>
      <c r="N145">
        <v>94165516.799999997</v>
      </c>
      <c r="O145">
        <v>330341678</v>
      </c>
      <c r="P145">
        <v>326535238</v>
      </c>
      <c r="Q145">
        <v>2791962</v>
      </c>
      <c r="R145">
        <v>3.5080960549669</v>
      </c>
      <c r="S145">
        <v>3.4676731896829498</v>
      </c>
      <c r="T145">
        <v>33.727363338039702</v>
      </c>
      <c r="U145">
        <v>5.2052455077561399E-3</v>
      </c>
      <c r="V145">
        <v>13.8605157597909</v>
      </c>
      <c r="W145">
        <f t="shared" si="6"/>
        <v>1.8260501230893494E-2</v>
      </c>
      <c r="X145">
        <f t="shared" si="7"/>
        <v>2.5277892683744814E-3</v>
      </c>
      <c r="Y145">
        <f t="shared" si="8"/>
        <v>0.3929004693106613</v>
      </c>
    </row>
    <row r="146" spans="11:25" x14ac:dyDescent="0.4">
      <c r="K146">
        <v>681</v>
      </c>
      <c r="L146" t="s">
        <v>458</v>
      </c>
      <c r="M146">
        <v>3</v>
      </c>
      <c r="N146">
        <v>20099776.199999999</v>
      </c>
      <c r="O146">
        <v>47092775</v>
      </c>
      <c r="P146">
        <v>47449451</v>
      </c>
      <c r="Q146">
        <v>725966</v>
      </c>
      <c r="R146">
        <v>2.3429502165302698</v>
      </c>
      <c r="S146">
        <v>2.3606954887388198</v>
      </c>
      <c r="T146">
        <v>27.686938782256998</v>
      </c>
      <c r="U146">
        <v>1.11106775948745E-3</v>
      </c>
      <c r="V146">
        <v>-90.001755792136905</v>
      </c>
      <c r="W146">
        <f t="shared" si="6"/>
        <v>2.6031764476709229E-3</v>
      </c>
      <c r="X146">
        <f t="shared" si="7"/>
        <v>2.4364069759878816E-4</v>
      </c>
      <c r="Y146">
        <f t="shared" si="8"/>
        <v>-0.2640203291027346</v>
      </c>
    </row>
    <row r="147" spans="11:25" x14ac:dyDescent="0.4">
      <c r="K147">
        <v>683</v>
      </c>
      <c r="L147" t="s">
        <v>459</v>
      </c>
      <c r="M147">
        <v>3</v>
      </c>
      <c r="N147">
        <v>34556617.259999998</v>
      </c>
      <c r="O147">
        <v>212891875</v>
      </c>
      <c r="P147">
        <v>210882685</v>
      </c>
      <c r="Q147">
        <v>2288674</v>
      </c>
      <c r="R147">
        <v>6.1606688350953398</v>
      </c>
      <c r="S147">
        <v>6.1025268594244304</v>
      </c>
      <c r="T147">
        <v>15.0989687740586</v>
      </c>
      <c r="U147">
        <v>1.91020750343148E-3</v>
      </c>
      <c r="V147">
        <v>22.8801952731827</v>
      </c>
      <c r="W147">
        <f t="shared" si="6"/>
        <v>1.1768155834955593E-2</v>
      </c>
      <c r="X147">
        <f t="shared" si="7"/>
        <v>2.1430132849699513E-2</v>
      </c>
      <c r="Y147">
        <f t="shared" si="8"/>
        <v>1.8884473537330515</v>
      </c>
    </row>
    <row r="148" spans="11:25" x14ac:dyDescent="0.4">
      <c r="K148">
        <v>688</v>
      </c>
      <c r="L148" t="s">
        <v>155</v>
      </c>
      <c r="M148">
        <v>3</v>
      </c>
      <c r="N148">
        <v>54229840.200000003</v>
      </c>
      <c r="O148">
        <v>55392502</v>
      </c>
      <c r="P148">
        <v>57518589</v>
      </c>
      <c r="Q148">
        <v>840000</v>
      </c>
      <c r="R148">
        <v>1.0214395210406599</v>
      </c>
      <c r="S148">
        <v>1.0606446338007001</v>
      </c>
      <c r="T148">
        <v>64.559333571428496</v>
      </c>
      <c r="U148">
        <v>2.9976964145688599E-3</v>
      </c>
      <c r="V148">
        <v>-18.2644322101293</v>
      </c>
      <c r="W148">
        <f t="shared" si="6"/>
        <v>3.0619655899225199E-3</v>
      </c>
      <c r="X148">
        <f t="shared" si="7"/>
        <v>9.602661839931307E-3</v>
      </c>
      <c r="Y148">
        <f t="shared" si="8"/>
        <v>-1.0091011872704243</v>
      </c>
    </row>
    <row r="149" spans="11:25" x14ac:dyDescent="0.4">
      <c r="K149">
        <v>691</v>
      </c>
      <c r="L149" t="s">
        <v>460</v>
      </c>
      <c r="M149">
        <v>3</v>
      </c>
      <c r="N149">
        <v>136781648.44999999</v>
      </c>
      <c r="O149">
        <v>241580863</v>
      </c>
      <c r="P149">
        <v>247968996</v>
      </c>
      <c r="Q149">
        <v>1742080</v>
      </c>
      <c r="R149">
        <v>1.7661789117003399</v>
      </c>
      <c r="S149">
        <v>1.8128820555240199</v>
      </c>
      <c r="T149">
        <v>78.516284240677805</v>
      </c>
      <c r="U149">
        <v>7.5609637724394999E-3</v>
      </c>
      <c r="V149">
        <v>-11.500359628164199</v>
      </c>
      <c r="W149">
        <f t="shared" si="6"/>
        <v>1.3354014767012893E-2</v>
      </c>
      <c r="X149">
        <f t="shared" si="7"/>
        <v>8.2575557747357527E-3</v>
      </c>
      <c r="Y149">
        <f t="shared" si="8"/>
        <v>-0.58920972048330633</v>
      </c>
    </row>
    <row r="150" spans="11:25" x14ac:dyDescent="0.4">
      <c r="K150">
        <v>697</v>
      </c>
      <c r="L150" t="s">
        <v>461</v>
      </c>
      <c r="M150">
        <v>3</v>
      </c>
      <c r="N150">
        <v>40845600</v>
      </c>
      <c r="O150">
        <v>107505361</v>
      </c>
      <c r="P150">
        <v>108766716</v>
      </c>
      <c r="Q150">
        <v>1950000</v>
      </c>
      <c r="R150">
        <v>2.6319936786336799</v>
      </c>
      <c r="S150">
        <v>2.6628747282448999</v>
      </c>
      <c r="T150">
        <v>20.946461538461499</v>
      </c>
      <c r="U150">
        <v>2.2578474917009598E-3</v>
      </c>
      <c r="V150">
        <v>-63.135547774577098</v>
      </c>
      <c r="W150">
        <f t="shared" si="6"/>
        <v>5.9426403254758363E-3</v>
      </c>
      <c r="X150">
        <f t="shared" si="7"/>
        <v>7.2534171165929243E-5</v>
      </c>
      <c r="Y150">
        <f t="shared" si="8"/>
        <v>-0.10105475377534058</v>
      </c>
    </row>
    <row r="151" spans="11:25" x14ac:dyDescent="0.4">
      <c r="K151">
        <v>700</v>
      </c>
      <c r="L151" t="s">
        <v>462</v>
      </c>
      <c r="M151">
        <v>3</v>
      </c>
      <c r="N151">
        <v>65478667.149999999</v>
      </c>
      <c r="O151">
        <v>133601912</v>
      </c>
      <c r="P151">
        <v>135828777</v>
      </c>
      <c r="Q151">
        <v>3486942</v>
      </c>
      <c r="R151">
        <v>2.0403883862501599</v>
      </c>
      <c r="S151">
        <v>2.0743974016581599</v>
      </c>
      <c r="T151">
        <v>18.778249580864799</v>
      </c>
      <c r="U151">
        <v>3.6195047785942498E-3</v>
      </c>
      <c r="V151">
        <v>-49.865098075189003</v>
      </c>
      <c r="W151">
        <f t="shared" si="6"/>
        <v>7.3851955142206641E-3</v>
      </c>
      <c r="X151">
        <f t="shared" si="7"/>
        <v>2.1506935335777848E-3</v>
      </c>
      <c r="Y151">
        <f t="shared" si="8"/>
        <v>-0.4346076947012929</v>
      </c>
    </row>
    <row r="152" spans="11:25" x14ac:dyDescent="0.4">
      <c r="K152">
        <v>701</v>
      </c>
      <c r="L152" t="s">
        <v>463</v>
      </c>
      <c r="M152">
        <v>3</v>
      </c>
      <c r="N152">
        <v>27238093.399999999</v>
      </c>
      <c r="O152">
        <v>113386424</v>
      </c>
      <c r="P152">
        <v>114433055</v>
      </c>
      <c r="Q152">
        <v>2758310</v>
      </c>
      <c r="R152">
        <v>4.1627885746217403</v>
      </c>
      <c r="S152">
        <v>4.20121384120079</v>
      </c>
      <c r="T152">
        <v>9.8749210204799294</v>
      </c>
      <c r="U152">
        <v>1.5056569339636601E-3</v>
      </c>
      <c r="V152">
        <v>25.771339117681801</v>
      </c>
      <c r="W152">
        <f t="shared" si="6"/>
        <v>6.2677314820039241E-3</v>
      </c>
      <c r="X152">
        <f t="shared" si="7"/>
        <v>2.7504028070822451E-3</v>
      </c>
      <c r="Y152">
        <f t="shared" si="8"/>
        <v>0.76202261568850016</v>
      </c>
    </row>
    <row r="153" spans="11:25" x14ac:dyDescent="0.4">
      <c r="K153">
        <v>717</v>
      </c>
      <c r="L153" t="s">
        <v>464</v>
      </c>
      <c r="M153">
        <v>3</v>
      </c>
      <c r="N153">
        <v>54924802.5</v>
      </c>
      <c r="O153">
        <v>147889184</v>
      </c>
      <c r="P153">
        <v>149124844</v>
      </c>
      <c r="Q153">
        <v>2600000</v>
      </c>
      <c r="R153">
        <v>2.6925756173633899</v>
      </c>
      <c r="S153">
        <v>2.7150729217460499</v>
      </c>
      <c r="T153">
        <v>21.124924038461501</v>
      </c>
      <c r="U153">
        <v>3.03611227541756E-3</v>
      </c>
      <c r="V153">
        <v>-54.445543922147202</v>
      </c>
      <c r="W153">
        <f t="shared" si="6"/>
        <v>8.1749618843670029E-3</v>
      </c>
      <c r="X153">
        <f t="shared" si="7"/>
        <v>4.274441339132834E-5</v>
      </c>
      <c r="Y153">
        <f t="shared" si="8"/>
        <v>-6.6898054891060085E-2</v>
      </c>
    </row>
    <row r="154" spans="11:25" x14ac:dyDescent="0.4">
      <c r="K154">
        <v>721</v>
      </c>
      <c r="L154" t="s">
        <v>465</v>
      </c>
      <c r="M154">
        <v>3</v>
      </c>
      <c r="N154">
        <v>66739172.799999997</v>
      </c>
      <c r="O154">
        <v>612135161</v>
      </c>
      <c r="P154">
        <v>603150282</v>
      </c>
      <c r="Q154">
        <v>6312913</v>
      </c>
      <c r="R154">
        <v>9.1720519646596497</v>
      </c>
      <c r="S154">
        <v>9.0374251986533398</v>
      </c>
      <c r="T154">
        <v>10.5718505545696</v>
      </c>
      <c r="U154">
        <v>3.6891825289548101E-3</v>
      </c>
      <c r="V154">
        <v>16.463983734875399</v>
      </c>
      <c r="W154">
        <f t="shared" si="6"/>
        <v>3.3837373862688022E-2</v>
      </c>
      <c r="X154">
        <f t="shared" si="7"/>
        <v>0.14926457064752882</v>
      </c>
      <c r="Y154">
        <f t="shared" si="8"/>
        <v>3.5862950776337619</v>
      </c>
    </row>
    <row r="155" spans="11:25" x14ac:dyDescent="0.4">
      <c r="K155">
        <v>733</v>
      </c>
      <c r="L155" t="s">
        <v>466</v>
      </c>
      <c r="M155">
        <v>3</v>
      </c>
      <c r="N155">
        <v>55381514.280000001</v>
      </c>
      <c r="O155">
        <v>177142403</v>
      </c>
      <c r="P155">
        <v>179823075</v>
      </c>
      <c r="Q155">
        <v>5261175</v>
      </c>
      <c r="R155">
        <v>3.1985835942368102</v>
      </c>
      <c r="S155">
        <v>3.24698732668889</v>
      </c>
      <c r="T155">
        <v>10.5264535545766</v>
      </c>
      <c r="U155">
        <v>3.06135821492887E-3</v>
      </c>
      <c r="V155">
        <v>18.073527528749899</v>
      </c>
      <c r="W155">
        <f t="shared" si="6"/>
        <v>9.7920101623535701E-3</v>
      </c>
      <c r="X155">
        <f t="shared" si="7"/>
        <v>4.59336734738036E-4</v>
      </c>
      <c r="Y155">
        <f t="shared" si="8"/>
        <v>0.21839426921598201</v>
      </c>
    </row>
    <row r="156" spans="11:25" x14ac:dyDescent="0.4">
      <c r="K156">
        <v>737</v>
      </c>
      <c r="L156" t="s">
        <v>113</v>
      </c>
      <c r="M156">
        <v>3</v>
      </c>
      <c r="N156">
        <v>83972271.200000003</v>
      </c>
      <c r="O156">
        <v>155395293</v>
      </c>
      <c r="P156">
        <v>155755003</v>
      </c>
      <c r="Q156">
        <v>1549881</v>
      </c>
      <c r="R156">
        <v>1.85055484125097</v>
      </c>
      <c r="S156">
        <v>1.8548385172175701</v>
      </c>
      <c r="T156">
        <v>54.179818450577798</v>
      </c>
      <c r="U156">
        <v>4.64178716682709E-3</v>
      </c>
      <c r="V156">
        <v>-44.033037281770902</v>
      </c>
      <c r="W156">
        <f t="shared" si="6"/>
        <v>8.5898817136284954E-3</v>
      </c>
      <c r="X156">
        <f t="shared" si="7"/>
        <v>4.2838829880290164E-3</v>
      </c>
      <c r="Y156">
        <f t="shared" si="8"/>
        <v>-0.54163773320174424</v>
      </c>
    </row>
    <row r="157" spans="11:25" x14ac:dyDescent="0.4">
      <c r="K157">
        <v>759</v>
      </c>
      <c r="L157" t="s">
        <v>467</v>
      </c>
      <c r="M157">
        <v>3</v>
      </c>
      <c r="N157">
        <v>40222581.909999996</v>
      </c>
      <c r="O157">
        <v>393502172</v>
      </c>
      <c r="P157">
        <v>387845950</v>
      </c>
      <c r="Q157">
        <v>4022365</v>
      </c>
      <c r="R157">
        <v>9.7831156856235708</v>
      </c>
      <c r="S157">
        <v>9.6424926392797001</v>
      </c>
      <c r="T157">
        <v>9.9997344621882895</v>
      </c>
      <c r="U157">
        <v>2.2234085354415102E-3</v>
      </c>
      <c r="V157">
        <v>21.207543463316</v>
      </c>
      <c r="W157">
        <f t="shared" si="6"/>
        <v>2.1751862918627171E-2</v>
      </c>
      <c r="X157">
        <f t="shared" si="7"/>
        <v>0.10807366671615756</v>
      </c>
      <c r="Y157">
        <f t="shared" si="8"/>
        <v>3.9308188738957797</v>
      </c>
    </row>
    <row r="158" spans="11:25" x14ac:dyDescent="0.4">
      <c r="K158">
        <v>770</v>
      </c>
      <c r="L158" t="s">
        <v>468</v>
      </c>
      <c r="M158">
        <v>3</v>
      </c>
      <c r="N158">
        <v>95364586.591999993</v>
      </c>
      <c r="O158">
        <v>67578422</v>
      </c>
      <c r="P158">
        <v>90644579</v>
      </c>
      <c r="Q158">
        <v>323608</v>
      </c>
      <c r="R158">
        <v>0.70863225454037704</v>
      </c>
      <c r="S158">
        <v>0.95050565665225695</v>
      </c>
      <c r="T158">
        <v>294.69168435885302</v>
      </c>
      <c r="U158">
        <v>5.2715272301997297E-3</v>
      </c>
      <c r="V158">
        <v>-13.7731022892807</v>
      </c>
      <c r="W158">
        <f t="shared" si="6"/>
        <v>3.7355742260074235E-3</v>
      </c>
      <c r="X158">
        <f t="shared" si="7"/>
        <v>2.3304967546192764E-2</v>
      </c>
      <c r="Y158">
        <f t="shared" si="8"/>
        <v>-1.1854650315893462</v>
      </c>
    </row>
    <row r="159" spans="11:25" x14ac:dyDescent="0.4">
      <c r="K159">
        <v>773</v>
      </c>
      <c r="L159" t="s">
        <v>469</v>
      </c>
      <c r="M159">
        <v>3</v>
      </c>
      <c r="N159">
        <v>39244886.25</v>
      </c>
      <c r="O159">
        <v>113035851</v>
      </c>
      <c r="P159">
        <v>113195934</v>
      </c>
      <c r="Q159">
        <v>445526</v>
      </c>
      <c r="R159">
        <v>2.8802695535905598</v>
      </c>
      <c r="S159">
        <v>2.88434863281072</v>
      </c>
      <c r="T159">
        <v>88.086635235654001</v>
      </c>
      <c r="U159">
        <v>2.1693638477988299E-3</v>
      </c>
      <c r="V159">
        <v>64.410260484997806</v>
      </c>
      <c r="W159">
        <f t="shared" si="6"/>
        <v>6.248352641475035E-3</v>
      </c>
      <c r="X159">
        <f t="shared" si="7"/>
        <v>1.0340432844307832E-5</v>
      </c>
      <c r="Y159">
        <f t="shared" si="8"/>
        <v>3.8925650928588254E-2</v>
      </c>
    </row>
    <row r="160" spans="11:25" x14ac:dyDescent="0.4">
      <c r="K160">
        <v>781</v>
      </c>
      <c r="L160" t="s">
        <v>470</v>
      </c>
      <c r="M160">
        <v>3</v>
      </c>
      <c r="N160">
        <v>180709739.58000001</v>
      </c>
      <c r="O160">
        <v>320726363</v>
      </c>
      <c r="P160">
        <v>315688377</v>
      </c>
      <c r="Q160">
        <v>4953895</v>
      </c>
      <c r="R160">
        <v>1.7748150362311499</v>
      </c>
      <c r="S160">
        <v>1.7469361514974899</v>
      </c>
      <c r="T160">
        <v>36.478314453576402</v>
      </c>
      <c r="U160">
        <v>9.9892040326653702E-3</v>
      </c>
      <c r="V160">
        <v>-30.016207075012101</v>
      </c>
      <c r="W160">
        <f t="shared" si="6"/>
        <v>1.7728989517155336E-2</v>
      </c>
      <c r="X160">
        <f t="shared" si="7"/>
        <v>1.0729946149844721E-2</v>
      </c>
      <c r="Y160">
        <f t="shared" si="8"/>
        <v>-0.58434058768050678</v>
      </c>
    </row>
    <row r="161" spans="11:25" x14ac:dyDescent="0.4">
      <c r="K161">
        <v>786</v>
      </c>
      <c r="L161" t="s">
        <v>471</v>
      </c>
      <c r="M161">
        <v>3</v>
      </c>
      <c r="N161">
        <v>49712076.75</v>
      </c>
      <c r="O161">
        <v>199372875</v>
      </c>
      <c r="P161">
        <v>198309655</v>
      </c>
      <c r="Q161">
        <v>1044000</v>
      </c>
      <c r="R161">
        <v>4.0105521240369404</v>
      </c>
      <c r="S161">
        <v>3.9891645645240499</v>
      </c>
      <c r="T161">
        <v>47.616931752873498</v>
      </c>
      <c r="U161">
        <v>2.7479652103833199E-3</v>
      </c>
      <c r="V161">
        <v>19.076310596121299</v>
      </c>
      <c r="W161">
        <f t="shared" si="6"/>
        <v>1.1020857711282441E-2</v>
      </c>
      <c r="X161">
        <f t="shared" si="7"/>
        <v>3.9526059282318738E-3</v>
      </c>
      <c r="Y161">
        <f t="shared" si="8"/>
        <v>0.67619019251306656</v>
      </c>
    </row>
    <row r="162" spans="11:25" x14ac:dyDescent="0.4">
      <c r="K162">
        <v>787</v>
      </c>
      <c r="L162" t="s">
        <v>472</v>
      </c>
      <c r="M162">
        <v>3</v>
      </c>
      <c r="N162">
        <v>78326041.799999997</v>
      </c>
      <c r="O162">
        <v>63833539</v>
      </c>
      <c r="P162">
        <v>61099717</v>
      </c>
      <c r="Q162">
        <v>3427999</v>
      </c>
      <c r="R162">
        <v>0.81497210293090505</v>
      </c>
      <c r="S162">
        <v>0.78006899871199598</v>
      </c>
      <c r="T162">
        <v>22.848910340989001</v>
      </c>
      <c r="U162">
        <v>4.3296770524363501E-3</v>
      </c>
      <c r="V162">
        <v>-45.592510080518899</v>
      </c>
      <c r="W162">
        <f t="shared" si="6"/>
        <v>3.5285660124357346E-3</v>
      </c>
      <c r="X162">
        <f t="shared" si="7"/>
        <v>1.7253946201252895E-2</v>
      </c>
      <c r="Y162">
        <f t="shared" si="8"/>
        <v>-1.1255095686735641</v>
      </c>
    </row>
    <row r="163" spans="11:25" x14ac:dyDescent="0.4">
      <c r="K163">
        <v>795</v>
      </c>
      <c r="L163" t="s">
        <v>473</v>
      </c>
      <c r="M163">
        <v>3</v>
      </c>
      <c r="N163">
        <v>31891866.199999999</v>
      </c>
      <c r="O163">
        <v>34756385</v>
      </c>
      <c r="P163">
        <v>30765876</v>
      </c>
      <c r="Q163">
        <v>847614</v>
      </c>
      <c r="R163">
        <v>1.0898197296462999</v>
      </c>
      <c r="S163">
        <v>0.96469349918444103</v>
      </c>
      <c r="T163">
        <v>37.625459466219198</v>
      </c>
      <c r="U163">
        <v>1.7629064111025999E-3</v>
      </c>
      <c r="V163">
        <v>-71.450722741267896</v>
      </c>
      <c r="W163">
        <f t="shared" si="6"/>
        <v>1.9212501883395644E-3</v>
      </c>
      <c r="X163">
        <f t="shared" si="7"/>
        <v>5.2239332703960173E-3</v>
      </c>
      <c r="Y163">
        <f t="shared" si="8"/>
        <v>-0.97054774636111718</v>
      </c>
    </row>
    <row r="164" spans="11:25" x14ac:dyDescent="0.4">
      <c r="K164">
        <v>798</v>
      </c>
      <c r="L164" t="s">
        <v>474</v>
      </c>
      <c r="M164">
        <v>3</v>
      </c>
      <c r="N164">
        <v>45072063.350000001</v>
      </c>
      <c r="O164">
        <v>284885133</v>
      </c>
      <c r="P164">
        <v>288757136</v>
      </c>
      <c r="Q164">
        <v>5900456</v>
      </c>
      <c r="R164">
        <v>6.3206587812004296</v>
      </c>
      <c r="S164">
        <v>6.4065657202711499</v>
      </c>
      <c r="T164">
        <v>7.6387423870290698</v>
      </c>
      <c r="U164">
        <v>2.4914763201075302E-3</v>
      </c>
      <c r="V164">
        <v>20.034182151762501</v>
      </c>
      <c r="W164">
        <f t="shared" si="6"/>
        <v>1.5747771680840593E-2</v>
      </c>
      <c r="X164">
        <f t="shared" si="7"/>
        <v>3.0685261929314686E-2</v>
      </c>
      <c r="Y164">
        <f t="shared" si="8"/>
        <v>1.9786512747070077</v>
      </c>
    </row>
    <row r="165" spans="11:25" x14ac:dyDescent="0.4">
      <c r="K165">
        <v>803</v>
      </c>
      <c r="L165" t="s">
        <v>475</v>
      </c>
      <c r="M165">
        <v>3</v>
      </c>
      <c r="N165">
        <v>14404314.300000001</v>
      </c>
      <c r="O165">
        <v>19624517</v>
      </c>
      <c r="P165">
        <v>19638064</v>
      </c>
      <c r="Q165">
        <v>297955</v>
      </c>
      <c r="R165">
        <v>1.3624054981916001</v>
      </c>
      <c r="S165">
        <v>1.36334598030813</v>
      </c>
      <c r="T165">
        <v>48.343925424980199</v>
      </c>
      <c r="U165">
        <v>7.9623618974693103E-4</v>
      </c>
      <c r="V165">
        <v>-106.316408776858</v>
      </c>
      <c r="W165">
        <f t="shared" si="6"/>
        <v>1.0847965627703491E-3</v>
      </c>
      <c r="X165">
        <f t="shared" si="7"/>
        <v>1.6713714620858362E-3</v>
      </c>
      <c r="Y165">
        <f t="shared" si="8"/>
        <v>-0.81686118215454828</v>
      </c>
    </row>
    <row r="166" spans="11:25" x14ac:dyDescent="0.4">
      <c r="K166">
        <v>811</v>
      </c>
      <c r="L166" t="s">
        <v>476</v>
      </c>
      <c r="M166">
        <v>3</v>
      </c>
      <c r="N166">
        <v>107664547.7</v>
      </c>
      <c r="O166">
        <v>437454906.43000001</v>
      </c>
      <c r="P166">
        <v>420675863</v>
      </c>
      <c r="Q166">
        <v>1000000</v>
      </c>
      <c r="R166">
        <v>4.0631286321746103</v>
      </c>
      <c r="S166">
        <v>3.9072830563704599</v>
      </c>
      <c r="T166">
        <v>107.6645477</v>
      </c>
      <c r="U166">
        <v>5.9514397871389601E-3</v>
      </c>
      <c r="V166">
        <v>38.8875186767809</v>
      </c>
      <c r="W166">
        <f t="shared" si="6"/>
        <v>2.4181465401787477E-2</v>
      </c>
      <c r="X166">
        <f t="shared" si="7"/>
        <v>9.3274073923863467E-3</v>
      </c>
      <c r="Y166">
        <f t="shared" si="8"/>
        <v>0.7058333501026175</v>
      </c>
    </row>
    <row r="167" spans="11:25" x14ac:dyDescent="0.4">
      <c r="K167">
        <v>814</v>
      </c>
      <c r="L167" t="s">
        <v>477</v>
      </c>
      <c r="M167">
        <v>3</v>
      </c>
      <c r="N167">
        <v>57285456</v>
      </c>
      <c r="O167">
        <v>181702512</v>
      </c>
      <c r="P167">
        <v>184229219</v>
      </c>
      <c r="Q167">
        <v>5000000</v>
      </c>
      <c r="R167">
        <v>3.1718786003902899</v>
      </c>
      <c r="S167">
        <v>3.2159859039962901</v>
      </c>
      <c r="T167">
        <v>11.457091200000001</v>
      </c>
      <c r="U167">
        <v>3.1666035788566098E-3</v>
      </c>
      <c r="V167">
        <v>17.7706433511763</v>
      </c>
      <c r="W167">
        <f t="shared" si="6"/>
        <v>1.0044082127694587E-2</v>
      </c>
      <c r="X167">
        <f t="shared" si="7"/>
        <v>4.1187381821135717E-4</v>
      </c>
      <c r="Y167">
        <f t="shared" si="8"/>
        <v>0.20333772839460307</v>
      </c>
    </row>
    <row r="168" spans="11:25" x14ac:dyDescent="0.4">
      <c r="K168">
        <v>816</v>
      </c>
      <c r="L168" t="s">
        <v>160</v>
      </c>
      <c r="M168">
        <v>3</v>
      </c>
      <c r="N168">
        <v>28277826.100000001</v>
      </c>
      <c r="O168">
        <v>60735326</v>
      </c>
      <c r="P168">
        <v>61767148</v>
      </c>
      <c r="Q168">
        <v>1819632</v>
      </c>
      <c r="R168">
        <v>2.14780746529875</v>
      </c>
      <c r="S168">
        <v>2.18429619665848</v>
      </c>
      <c r="T168">
        <v>15.540409324522701</v>
      </c>
      <c r="U168">
        <v>1.5631308814325301E-3</v>
      </c>
      <c r="V168">
        <v>-75.879346711307093</v>
      </c>
      <c r="W168">
        <f t="shared" si="6"/>
        <v>3.3573041763798033E-3</v>
      </c>
      <c r="X168">
        <f t="shared" si="7"/>
        <v>6.879782403588974E-4</v>
      </c>
      <c r="Y168">
        <f t="shared" si="8"/>
        <v>-0.3740437508192847</v>
      </c>
    </row>
    <row r="169" spans="11:25" x14ac:dyDescent="0.4">
      <c r="K169">
        <v>817</v>
      </c>
      <c r="L169" t="s">
        <v>478</v>
      </c>
      <c r="M169">
        <v>3</v>
      </c>
      <c r="N169">
        <v>20860865.800000001</v>
      </c>
      <c r="O169">
        <v>123406206</v>
      </c>
      <c r="P169">
        <v>123638935</v>
      </c>
      <c r="Q169">
        <v>1095000</v>
      </c>
      <c r="R169">
        <v>5.9156799714420201</v>
      </c>
      <c r="S169">
        <v>5.9268362198082798</v>
      </c>
      <c r="T169">
        <v>19.051018995433701</v>
      </c>
      <c r="U169">
        <v>1.1531389799939299E-3</v>
      </c>
      <c r="V169">
        <v>29.448228444974799</v>
      </c>
      <c r="W169">
        <f t="shared" si="6"/>
        <v>6.8216011682391718E-3</v>
      </c>
      <c r="X169">
        <f t="shared" si="7"/>
        <v>1.1113509234760434E-2</v>
      </c>
      <c r="Y169">
        <f t="shared" si="8"/>
        <v>1.7503201986556467</v>
      </c>
    </row>
    <row r="170" spans="11:25" x14ac:dyDescent="0.4">
      <c r="K170">
        <v>818</v>
      </c>
      <c r="L170" t="s">
        <v>479</v>
      </c>
      <c r="M170">
        <v>3</v>
      </c>
      <c r="N170">
        <v>34578660</v>
      </c>
      <c r="O170">
        <v>56125226</v>
      </c>
      <c r="P170">
        <v>63375564</v>
      </c>
      <c r="Q170">
        <v>200254</v>
      </c>
      <c r="R170">
        <v>1.6231174371707799</v>
      </c>
      <c r="S170">
        <v>1.83279409901945</v>
      </c>
      <c r="T170">
        <v>172.67400401490099</v>
      </c>
      <c r="U170">
        <v>1.9114259736025499E-3</v>
      </c>
      <c r="V170">
        <v>-22.872901430730298</v>
      </c>
      <c r="W170">
        <f t="shared" si="6"/>
        <v>3.1024688276154338E-3</v>
      </c>
      <c r="X170">
        <f t="shared" si="7"/>
        <v>2.6981870689128441E-3</v>
      </c>
      <c r="Y170">
        <f t="shared" si="8"/>
        <v>-0.66986920101344904</v>
      </c>
    </row>
    <row r="171" spans="11:25" x14ac:dyDescent="0.4">
      <c r="K171">
        <v>821</v>
      </c>
      <c r="L171" t="s">
        <v>480</v>
      </c>
      <c r="M171">
        <v>3</v>
      </c>
      <c r="N171">
        <v>43794871.600000001</v>
      </c>
      <c r="O171">
        <v>201749301</v>
      </c>
      <c r="P171">
        <v>192510135</v>
      </c>
      <c r="Q171">
        <v>2177944</v>
      </c>
      <c r="R171">
        <v>4.6066878067978996</v>
      </c>
      <c r="S171">
        <v>4.3957232426273398</v>
      </c>
      <c r="T171">
        <v>20.108355219417898</v>
      </c>
      <c r="U171">
        <v>2.4208762018779399E-3</v>
      </c>
      <c r="V171">
        <v>20.3242116754531</v>
      </c>
      <c r="W171">
        <f t="shared" si="6"/>
        <v>1.1152220880958316E-2</v>
      </c>
      <c r="X171">
        <f t="shared" si="7"/>
        <v>7.8041100917562636E-3</v>
      </c>
      <c r="Y171">
        <f t="shared" si="8"/>
        <v>1.0122974125392772</v>
      </c>
    </row>
    <row r="172" spans="11:25" x14ac:dyDescent="0.4">
      <c r="K172">
        <v>822</v>
      </c>
      <c r="L172" t="s">
        <v>481</v>
      </c>
      <c r="M172">
        <v>3</v>
      </c>
      <c r="N172">
        <v>39053226.299999997</v>
      </c>
      <c r="O172">
        <v>104417963</v>
      </c>
      <c r="P172">
        <v>102249696</v>
      </c>
      <c r="Q172">
        <v>1400000</v>
      </c>
      <c r="R172">
        <v>2.6737346153651802</v>
      </c>
      <c r="S172">
        <v>2.6182137991503098</v>
      </c>
      <c r="T172">
        <v>27.895161642857101</v>
      </c>
      <c r="U172">
        <v>2.15876934221274E-3</v>
      </c>
      <c r="V172">
        <v>-64.568118867290295</v>
      </c>
      <c r="W172">
        <f t="shared" si="6"/>
        <v>5.7719763168633236E-3</v>
      </c>
      <c r="X172">
        <f t="shared" si="7"/>
        <v>4.0811003600716065E-5</v>
      </c>
      <c r="Y172">
        <f t="shared" si="8"/>
        <v>-7.752079898649418E-2</v>
      </c>
    </row>
    <row r="173" spans="11:25" x14ac:dyDescent="0.4">
      <c r="K173">
        <v>824</v>
      </c>
      <c r="L173" t="s">
        <v>482</v>
      </c>
      <c r="M173">
        <v>3</v>
      </c>
      <c r="N173">
        <v>33629974.170000002</v>
      </c>
      <c r="O173">
        <v>117736035</v>
      </c>
      <c r="P173">
        <v>117043077</v>
      </c>
      <c r="Q173">
        <v>1502592</v>
      </c>
      <c r="R173">
        <v>3.5009255256885599</v>
      </c>
      <c r="S173">
        <v>3.4803201574983502</v>
      </c>
      <c r="T173">
        <v>22.3813078799833</v>
      </c>
      <c r="U173">
        <v>1.8589848802735801E-3</v>
      </c>
      <c r="V173">
        <v>23.193274670769501</v>
      </c>
      <c r="W173">
        <f t="shared" si="6"/>
        <v>6.5081676192188676E-3</v>
      </c>
      <c r="X173">
        <f t="shared" si="7"/>
        <v>8.842838895091813E-4</v>
      </c>
      <c r="Y173">
        <f t="shared" si="8"/>
        <v>0.38885765367060871</v>
      </c>
    </row>
    <row r="174" spans="11:25" x14ac:dyDescent="0.4">
      <c r="K174">
        <v>825</v>
      </c>
      <c r="L174" t="s">
        <v>483</v>
      </c>
      <c r="M174">
        <v>3</v>
      </c>
      <c r="N174">
        <v>54929693.600000001</v>
      </c>
      <c r="O174">
        <v>139138794</v>
      </c>
      <c r="P174">
        <v>142992739</v>
      </c>
      <c r="Q174">
        <v>1982576</v>
      </c>
      <c r="R174">
        <v>2.53303422759307</v>
      </c>
      <c r="S174">
        <v>2.6031956420743598</v>
      </c>
      <c r="T174">
        <v>27.7062234184212</v>
      </c>
      <c r="U174">
        <v>3.0363826437771E-3</v>
      </c>
      <c r="V174">
        <v>-54.443119873234103</v>
      </c>
      <c r="W174">
        <f t="shared" si="6"/>
        <v>7.6912611647569299E-3</v>
      </c>
      <c r="X174">
        <f t="shared" si="7"/>
        <v>2.3499302858288689E-4</v>
      </c>
      <c r="Y174">
        <f t="shared" si="8"/>
        <v>-0.15684907534745901</v>
      </c>
    </row>
    <row r="175" spans="11:25" x14ac:dyDescent="0.4">
      <c r="K175">
        <v>831</v>
      </c>
      <c r="L175" t="s">
        <v>484</v>
      </c>
      <c r="M175">
        <v>3</v>
      </c>
      <c r="N175">
        <v>35894792.295000002</v>
      </c>
      <c r="O175">
        <v>59036586</v>
      </c>
      <c r="P175">
        <v>46968946</v>
      </c>
      <c r="Q175">
        <v>647186</v>
      </c>
      <c r="R175">
        <v>1.6447117318526301</v>
      </c>
      <c r="S175">
        <v>1.3085170019647201</v>
      </c>
      <c r="T175">
        <v>55.4628689356691</v>
      </c>
      <c r="U175">
        <v>1.9841786324204399E-3</v>
      </c>
      <c r="V175">
        <v>-67.348956396051804</v>
      </c>
      <c r="W175">
        <f t="shared" si="6"/>
        <v>3.263401874833205E-3</v>
      </c>
      <c r="X175">
        <f t="shared" si="7"/>
        <v>2.6999967626806717E-3</v>
      </c>
      <c r="Y175">
        <f t="shared" si="8"/>
        <v>-0.65769412315142861</v>
      </c>
    </row>
    <row r="176" spans="11:25" x14ac:dyDescent="0.4">
      <c r="K176">
        <v>833</v>
      </c>
      <c r="L176" t="s">
        <v>93</v>
      </c>
      <c r="M176">
        <v>3</v>
      </c>
      <c r="N176">
        <v>137022765.30000001</v>
      </c>
      <c r="O176">
        <v>409916392</v>
      </c>
      <c r="P176">
        <v>415682337</v>
      </c>
      <c r="Q176">
        <v>8470000</v>
      </c>
      <c r="R176">
        <v>2.9915933392711902</v>
      </c>
      <c r="S176">
        <v>3.0336735365827501</v>
      </c>
      <c r="T176">
        <v>16.177422113341201</v>
      </c>
      <c r="U176">
        <v>7.5742921376729501E-3</v>
      </c>
      <c r="V176">
        <v>11.4902366700318</v>
      </c>
      <c r="W176">
        <f t="shared" si="6"/>
        <v>2.2659201908756543E-2</v>
      </c>
      <c r="X176">
        <f t="shared" si="7"/>
        <v>2.4640105107322913E-4</v>
      </c>
      <c r="Y176">
        <f t="shared" si="8"/>
        <v>0.10169110719957929</v>
      </c>
    </row>
    <row r="177" spans="11:25" x14ac:dyDescent="0.4">
      <c r="K177">
        <v>834</v>
      </c>
      <c r="L177" t="s">
        <v>485</v>
      </c>
      <c r="M177">
        <v>3</v>
      </c>
      <c r="N177">
        <v>21201293.739999998</v>
      </c>
      <c r="O177">
        <v>132079568</v>
      </c>
      <c r="P177">
        <v>130699486</v>
      </c>
      <c r="Q177">
        <v>2710398</v>
      </c>
      <c r="R177">
        <v>6.2297881261278096</v>
      </c>
      <c r="S177">
        <v>6.1646938909870501</v>
      </c>
      <c r="T177">
        <v>7.82220682718921</v>
      </c>
      <c r="U177">
        <v>1.1719570257671299E-3</v>
      </c>
      <c r="V177">
        <v>29.210847440171499</v>
      </c>
      <c r="W177">
        <f t="shared" si="6"/>
        <v>7.3010439634561292E-3</v>
      </c>
      <c r="X177">
        <f t="shared" si="7"/>
        <v>1.3696128868668864E-2</v>
      </c>
      <c r="Y177">
        <f t="shared" si="8"/>
        <v>1.9274174966567414</v>
      </c>
    </row>
    <row r="178" spans="11:25" x14ac:dyDescent="0.4">
      <c r="K178">
        <v>848</v>
      </c>
      <c r="L178" t="s">
        <v>486</v>
      </c>
      <c r="M178">
        <v>3</v>
      </c>
      <c r="N178">
        <v>111854777.79000001</v>
      </c>
      <c r="O178">
        <v>130842436</v>
      </c>
      <c r="P178">
        <v>131871888</v>
      </c>
      <c r="Q178">
        <v>1861285</v>
      </c>
      <c r="R178">
        <v>1.16975276859114</v>
      </c>
      <c r="S178">
        <v>1.17895623777091</v>
      </c>
      <c r="T178">
        <v>60.095459744208902</v>
      </c>
      <c r="U178">
        <v>6.1830657272244601E-3</v>
      </c>
      <c r="V178">
        <v>-12.717392300525299</v>
      </c>
      <c r="W178">
        <f t="shared" si="6"/>
        <v>7.2326582528018024E-3</v>
      </c>
      <c r="X178">
        <f t="shared" si="7"/>
        <v>1.6659929265793606E-2</v>
      </c>
      <c r="Y178">
        <f t="shared" si="8"/>
        <v>-0.92548070493932422</v>
      </c>
    </row>
    <row r="179" spans="11:25" x14ac:dyDescent="0.4">
      <c r="K179">
        <v>849</v>
      </c>
      <c r="L179" t="s">
        <v>487</v>
      </c>
      <c r="M179">
        <v>3</v>
      </c>
      <c r="N179">
        <v>29101562.5</v>
      </c>
      <c r="O179">
        <v>108593401</v>
      </c>
      <c r="P179">
        <v>109450335</v>
      </c>
      <c r="Q179">
        <v>1500000</v>
      </c>
      <c r="R179">
        <v>3.73153163167785</v>
      </c>
      <c r="S179">
        <v>3.76097795436241</v>
      </c>
      <c r="T179">
        <v>19.4010416666666</v>
      </c>
      <c r="U179">
        <v>1.6086650678458301E-3</v>
      </c>
      <c r="V179">
        <v>24.932577886005799</v>
      </c>
      <c r="W179">
        <f t="shared" si="6"/>
        <v>6.00278458544191E-3</v>
      </c>
      <c r="X179">
        <f t="shared" si="7"/>
        <v>1.3624695133542439E-3</v>
      </c>
      <c r="Y179">
        <f t="shared" si="8"/>
        <v>0.51887566709694066</v>
      </c>
    </row>
    <row r="180" spans="11:25" x14ac:dyDescent="0.4">
      <c r="K180">
        <v>858</v>
      </c>
      <c r="L180" t="s">
        <v>488</v>
      </c>
      <c r="M180">
        <v>3</v>
      </c>
      <c r="N180">
        <v>56810009.719999999</v>
      </c>
      <c r="O180">
        <v>141215215</v>
      </c>
      <c r="P180">
        <v>140815426</v>
      </c>
      <c r="Q180">
        <v>1977500</v>
      </c>
      <c r="R180">
        <v>2.48574530608265</v>
      </c>
      <c r="S180">
        <v>2.4787080075155399</v>
      </c>
      <c r="T180">
        <v>28.7281970771175</v>
      </c>
      <c r="U180">
        <v>3.1403220408026599E-3</v>
      </c>
      <c r="V180">
        <v>-53.534550566769603</v>
      </c>
      <c r="W180">
        <f t="shared" si="6"/>
        <v>7.8060407725130997E-3</v>
      </c>
      <c r="X180">
        <f t="shared" si="7"/>
        <v>3.326849299123937E-4</v>
      </c>
      <c r="Y180">
        <f t="shared" si="8"/>
        <v>-0.1835110390690271</v>
      </c>
    </row>
    <row r="181" spans="11:25" x14ac:dyDescent="0.4">
      <c r="K181">
        <v>891</v>
      </c>
      <c r="L181" t="s">
        <v>489</v>
      </c>
      <c r="M181">
        <v>3</v>
      </c>
      <c r="N181">
        <v>136956123.84</v>
      </c>
      <c r="O181">
        <v>727125676.32000005</v>
      </c>
      <c r="P181">
        <v>740427182.99000001</v>
      </c>
      <c r="Q181">
        <v>5202651</v>
      </c>
      <c r="R181">
        <v>5.3091870296319801</v>
      </c>
      <c r="S181">
        <v>5.4063094239948599</v>
      </c>
      <c r="T181">
        <v>26.324295794586199</v>
      </c>
      <c r="U181">
        <v>7.57060835647487E-3</v>
      </c>
      <c r="V181">
        <v>11.493031846326099</v>
      </c>
      <c r="W181">
        <f t="shared" si="6"/>
        <v>4.0193775692619858E-2</v>
      </c>
      <c r="X181">
        <f t="shared" si="7"/>
        <v>4.7239032360919607E-2</v>
      </c>
      <c r="Y181">
        <f t="shared" si="8"/>
        <v>1.4083734530872722</v>
      </c>
    </row>
    <row r="182" spans="11:25" x14ac:dyDescent="0.4">
      <c r="K182">
        <v>900</v>
      </c>
      <c r="L182" t="s">
        <v>490</v>
      </c>
      <c r="M182">
        <v>3</v>
      </c>
      <c r="N182">
        <v>50403758.850000001</v>
      </c>
      <c r="O182">
        <v>181018626</v>
      </c>
      <c r="P182">
        <v>188833756</v>
      </c>
      <c r="Q182">
        <v>349953</v>
      </c>
      <c r="R182">
        <v>3.5913715589884001</v>
      </c>
      <c r="S182">
        <v>3.7464220984383898</v>
      </c>
      <c r="T182">
        <v>144.03008075370099</v>
      </c>
      <c r="U182">
        <v>2.7861997495880202E-3</v>
      </c>
      <c r="V182">
        <v>56.834903938326697</v>
      </c>
      <c r="W182">
        <f t="shared" si="6"/>
        <v>1.0006278538331017E-2</v>
      </c>
      <c r="X182">
        <f t="shared" si="7"/>
        <v>1.6957428491953001E-3</v>
      </c>
      <c r="Y182">
        <f t="shared" si="8"/>
        <v>0.43985202574713667</v>
      </c>
    </row>
    <row r="183" spans="11:25" x14ac:dyDescent="0.4">
      <c r="K183">
        <v>905</v>
      </c>
      <c r="L183" t="s">
        <v>221</v>
      </c>
      <c r="M183">
        <v>3</v>
      </c>
      <c r="N183">
        <v>194249888.40000001</v>
      </c>
      <c r="O183">
        <v>263476019</v>
      </c>
      <c r="P183">
        <v>267868080</v>
      </c>
      <c r="Q183">
        <v>6587732</v>
      </c>
      <c r="R183">
        <v>1.3563766814498699</v>
      </c>
      <c r="S183">
        <v>1.3789870470782699</v>
      </c>
      <c r="T183">
        <v>29.486610627147499</v>
      </c>
      <c r="U183">
        <v>1.07376712127409E-2</v>
      </c>
      <c r="V183">
        <v>-28.9511756224218</v>
      </c>
      <c r="W183">
        <f t="shared" si="6"/>
        <v>1.4564326846037302E-2</v>
      </c>
      <c r="X183">
        <f t="shared" si="7"/>
        <v>2.2727309575181397E-2</v>
      </c>
      <c r="Y183">
        <f t="shared" si="8"/>
        <v>-0.82026028892454672</v>
      </c>
    </row>
    <row r="184" spans="11:25" x14ac:dyDescent="0.4">
      <c r="K184">
        <v>907</v>
      </c>
      <c r="L184" t="s">
        <v>223</v>
      </c>
      <c r="M184">
        <v>3</v>
      </c>
      <c r="N184">
        <v>164774284.80000001</v>
      </c>
      <c r="O184">
        <v>177558032</v>
      </c>
      <c r="P184">
        <v>179696051</v>
      </c>
      <c r="Q184">
        <v>3389265</v>
      </c>
      <c r="R184">
        <v>1.0775833875748</v>
      </c>
      <c r="S184">
        <v>1.0905588285096199</v>
      </c>
      <c r="T184">
        <v>48.616524467694298</v>
      </c>
      <c r="U184">
        <v>9.1083300436888993E-3</v>
      </c>
      <c r="V184">
        <v>-31.4341611434238</v>
      </c>
      <c r="W184">
        <f t="shared" si="6"/>
        <v>9.8149851436276098E-3</v>
      </c>
      <c r="X184">
        <f t="shared" si="7"/>
        <v>2.7375338416209774E-2</v>
      </c>
      <c r="Y184">
        <f t="shared" si="8"/>
        <v>-0.97744671757836399</v>
      </c>
    </row>
    <row r="185" spans="11:25" x14ac:dyDescent="0.4">
      <c r="K185">
        <v>908</v>
      </c>
      <c r="L185" t="s">
        <v>491</v>
      </c>
      <c r="M185">
        <v>3</v>
      </c>
      <c r="N185">
        <v>94987016.799999997</v>
      </c>
      <c r="O185">
        <v>386453626</v>
      </c>
      <c r="P185">
        <v>377313422</v>
      </c>
      <c r="Q185">
        <v>4930697</v>
      </c>
      <c r="R185">
        <v>4.0684889263729298</v>
      </c>
      <c r="S185">
        <v>3.9722631019610999</v>
      </c>
      <c r="T185">
        <v>19.264419776757698</v>
      </c>
      <c r="U185">
        <v>5.2506560713035597E-3</v>
      </c>
      <c r="V185">
        <v>13.800448920592901</v>
      </c>
      <c r="W185">
        <f t="shared" si="6"/>
        <v>2.1362236082291326E-2</v>
      </c>
      <c r="X185">
        <f t="shared" si="7"/>
        <v>8.2997229771780614E-3</v>
      </c>
      <c r="Y185">
        <f t="shared" si="8"/>
        <v>0.70885553722145545</v>
      </c>
    </row>
    <row r="186" spans="11:25" x14ac:dyDescent="0.4">
      <c r="K186">
        <v>915</v>
      </c>
      <c r="L186" t="s">
        <v>492</v>
      </c>
      <c r="M186">
        <v>3</v>
      </c>
      <c r="N186">
        <v>94184472.299999997</v>
      </c>
      <c r="O186">
        <v>114775370</v>
      </c>
      <c r="P186">
        <v>127308465</v>
      </c>
      <c r="Q186">
        <v>1000000</v>
      </c>
      <c r="R186">
        <v>1.21862306171247</v>
      </c>
      <c r="S186">
        <v>1.3516927142139901</v>
      </c>
      <c r="T186">
        <v>94.184472299999996</v>
      </c>
      <c r="U186">
        <v>5.2062933226524602E-3</v>
      </c>
      <c r="V186">
        <v>-13.859120910827199</v>
      </c>
      <c r="W186">
        <f t="shared" si="6"/>
        <v>6.3445091090239296E-3</v>
      </c>
      <c r="X186">
        <f t="shared" si="7"/>
        <v>1.3205212365168261E-2</v>
      </c>
      <c r="Y186">
        <f t="shared" si="8"/>
        <v>-0.89792714819398389</v>
      </c>
    </row>
    <row r="187" spans="11:25" x14ac:dyDescent="0.4">
      <c r="K187">
        <v>917</v>
      </c>
      <c r="L187" t="s">
        <v>493</v>
      </c>
      <c r="M187">
        <v>3</v>
      </c>
      <c r="N187">
        <v>35802793.200000003</v>
      </c>
      <c r="O187">
        <v>159533812</v>
      </c>
      <c r="P187">
        <v>158409758</v>
      </c>
      <c r="Q187">
        <v>5152499</v>
      </c>
      <c r="R187">
        <v>4.4559040717527001</v>
      </c>
      <c r="S187">
        <v>4.4245083648948302</v>
      </c>
      <c r="T187">
        <v>6.9486269090008497</v>
      </c>
      <c r="U187">
        <v>1.97909314155033E-3</v>
      </c>
      <c r="V187">
        <v>22.478477014294299</v>
      </c>
      <c r="W187">
        <f t="shared" si="6"/>
        <v>8.8186491878119583E-3</v>
      </c>
      <c r="X187">
        <f t="shared" si="7"/>
        <v>5.3533589055848214E-3</v>
      </c>
      <c r="Y187">
        <f t="shared" si="8"/>
        <v>0.92728404481652615</v>
      </c>
    </row>
    <row r="188" spans="11:25" x14ac:dyDescent="0.4">
      <c r="K188">
        <v>920</v>
      </c>
      <c r="L188" t="s">
        <v>494</v>
      </c>
      <c r="M188">
        <v>3</v>
      </c>
      <c r="N188">
        <v>86244028.489999995</v>
      </c>
      <c r="O188">
        <v>131661535</v>
      </c>
      <c r="P188">
        <v>132056106</v>
      </c>
      <c r="Q188">
        <v>3241529</v>
      </c>
      <c r="R188">
        <v>1.5266162458455399</v>
      </c>
      <c r="S188">
        <v>1.5311912988307499</v>
      </c>
      <c r="T188">
        <v>26.6059715924182</v>
      </c>
      <c r="U188">
        <v>4.7673644994891103E-3</v>
      </c>
      <c r="V188">
        <v>-43.449229128209097</v>
      </c>
      <c r="W188">
        <f t="shared" si="6"/>
        <v>7.2779360947873668E-3</v>
      </c>
      <c r="X188">
        <f t="shared" si="7"/>
        <v>7.8672497270453265E-3</v>
      </c>
      <c r="Y188">
        <f t="shared" si="8"/>
        <v>-0.72427753133738593</v>
      </c>
    </row>
    <row r="189" spans="11:25" x14ac:dyDescent="0.4">
      <c r="K189">
        <v>921</v>
      </c>
      <c r="L189" t="s">
        <v>150</v>
      </c>
      <c r="M189">
        <v>3</v>
      </c>
      <c r="N189">
        <v>86990182.909999996</v>
      </c>
      <c r="O189">
        <v>111811691</v>
      </c>
      <c r="P189">
        <v>115838739</v>
      </c>
      <c r="Q189">
        <v>1439224</v>
      </c>
      <c r="R189">
        <v>1.2853368881369001</v>
      </c>
      <c r="S189">
        <v>1.33163001990519</v>
      </c>
      <c r="T189">
        <v>60.442420992145699</v>
      </c>
      <c r="U189">
        <v>4.8086101388142401E-3</v>
      </c>
      <c r="V189">
        <v>-14.4208286354738</v>
      </c>
      <c r="W189">
        <f t="shared" si="6"/>
        <v>6.180683992087042E-3</v>
      </c>
      <c r="X189">
        <f t="shared" si="7"/>
        <v>1.119611430432948E-2</v>
      </c>
      <c r="Y189">
        <f t="shared" si="8"/>
        <v>-0.86031323011248961</v>
      </c>
    </row>
    <row r="190" spans="11:25" x14ac:dyDescent="0.4">
      <c r="K190">
        <v>924</v>
      </c>
      <c r="L190" t="s">
        <v>495</v>
      </c>
      <c r="M190">
        <v>3</v>
      </c>
      <c r="N190">
        <v>80156725</v>
      </c>
      <c r="O190">
        <v>164245524</v>
      </c>
      <c r="P190">
        <v>164375796</v>
      </c>
      <c r="Q190">
        <v>1720000</v>
      </c>
      <c r="R190">
        <v>2.0490548235347599</v>
      </c>
      <c r="S190">
        <v>2.0506800396348499</v>
      </c>
      <c r="T190">
        <v>46.602747093023197</v>
      </c>
      <c r="U190">
        <v>4.4308728598481499E-3</v>
      </c>
      <c r="V190">
        <v>-45.068863899653202</v>
      </c>
      <c r="W190">
        <f t="shared" si="6"/>
        <v>9.079101405941108E-3</v>
      </c>
      <c r="X190">
        <f t="shared" si="7"/>
        <v>2.5739372144980115E-3</v>
      </c>
      <c r="Y190">
        <f t="shared" si="8"/>
        <v>-0.4297214712667759</v>
      </c>
    </row>
    <row r="191" spans="11:25" x14ac:dyDescent="0.4">
      <c r="K191">
        <v>936</v>
      </c>
      <c r="L191" t="s">
        <v>191</v>
      </c>
      <c r="M191">
        <v>3</v>
      </c>
      <c r="N191">
        <v>106271754</v>
      </c>
      <c r="O191">
        <v>167972183</v>
      </c>
      <c r="P191">
        <v>174278080</v>
      </c>
      <c r="Q191">
        <v>2057500</v>
      </c>
      <c r="R191">
        <v>1.58059104773974</v>
      </c>
      <c r="S191">
        <v>1.63992851760026</v>
      </c>
      <c r="T191">
        <v>51.650913244228398</v>
      </c>
      <c r="U191">
        <v>5.8744494684265002E-3</v>
      </c>
      <c r="V191">
        <v>-39.141518353123899</v>
      </c>
      <c r="W191">
        <f t="shared" si="6"/>
        <v>9.2851022401944008E-3</v>
      </c>
      <c r="X191">
        <f t="shared" si="7"/>
        <v>8.896678672557428E-3</v>
      </c>
      <c r="Y191">
        <f t="shared" si="8"/>
        <v>-0.69384600183708023</v>
      </c>
    </row>
    <row r="192" spans="11:25" x14ac:dyDescent="0.4">
      <c r="K192">
        <v>937</v>
      </c>
      <c r="L192" t="s">
        <v>496</v>
      </c>
      <c r="M192">
        <v>3</v>
      </c>
      <c r="N192">
        <v>65469444.479999997</v>
      </c>
      <c r="O192">
        <v>138344132</v>
      </c>
      <c r="P192">
        <v>138632621</v>
      </c>
      <c r="Q192">
        <v>3291253</v>
      </c>
      <c r="R192">
        <v>2.1131099110251599</v>
      </c>
      <c r="S192">
        <v>2.1175163788406701</v>
      </c>
      <c r="T192">
        <v>19.8919513267439</v>
      </c>
      <c r="U192">
        <v>3.6189949713609998E-3</v>
      </c>
      <c r="V192">
        <v>-49.868610195634901</v>
      </c>
      <c r="W192">
        <f t="shared" si="6"/>
        <v>7.6473341419331436E-3</v>
      </c>
      <c r="X192">
        <f t="shared" si="7"/>
        <v>1.7637914164291802E-3</v>
      </c>
      <c r="Y192">
        <f t="shared" si="8"/>
        <v>-0.39360657660852916</v>
      </c>
    </row>
    <row r="193" spans="11:25" x14ac:dyDescent="0.4">
      <c r="K193">
        <v>941</v>
      </c>
      <c r="L193" t="s">
        <v>230</v>
      </c>
      <c r="M193">
        <v>3</v>
      </c>
      <c r="N193">
        <v>126935582.40000001</v>
      </c>
      <c r="O193">
        <v>196031337</v>
      </c>
      <c r="P193">
        <v>199800323</v>
      </c>
      <c r="Q193">
        <v>10963439</v>
      </c>
      <c r="R193">
        <v>1.5443371613663399</v>
      </c>
      <c r="S193">
        <v>1.5740292770736899</v>
      </c>
      <c r="T193">
        <v>11.5780807828638</v>
      </c>
      <c r="U193">
        <v>7.0166966902050704E-3</v>
      </c>
      <c r="V193">
        <v>-35.814170997019502</v>
      </c>
      <c r="W193">
        <f t="shared" si="6"/>
        <v>1.0836145448719891E-2</v>
      </c>
      <c r="X193">
        <f t="shared" si="7"/>
        <v>1.1261906075808773E-2</v>
      </c>
      <c r="Y193">
        <f t="shared" si="8"/>
        <v>-0.71428630312499297</v>
      </c>
    </row>
    <row r="194" spans="11:25" x14ac:dyDescent="0.4">
      <c r="K194">
        <v>943</v>
      </c>
      <c r="L194" t="s">
        <v>184</v>
      </c>
      <c r="M194">
        <v>3</v>
      </c>
      <c r="N194">
        <v>71018075.280000001</v>
      </c>
      <c r="O194">
        <v>212560977</v>
      </c>
      <c r="P194">
        <v>203622046</v>
      </c>
      <c r="Q194">
        <v>2900653</v>
      </c>
      <c r="R194">
        <v>2.9930546014087902</v>
      </c>
      <c r="S194">
        <v>2.8671862085418001</v>
      </c>
      <c r="T194">
        <v>24.483478471916399</v>
      </c>
      <c r="U194">
        <v>3.9257100675807897E-3</v>
      </c>
      <c r="V194">
        <v>15.9602940747163</v>
      </c>
      <c r="W194">
        <f t="shared" si="6"/>
        <v>1.1749864581569496E-2</v>
      </c>
      <c r="X194">
        <f t="shared" si="7"/>
        <v>1.2978588055426418E-4</v>
      </c>
      <c r="Y194">
        <f t="shared" si="8"/>
        <v>0.10251498130911692</v>
      </c>
    </row>
    <row r="195" spans="11:25" x14ac:dyDescent="0.4">
      <c r="K195">
        <v>949</v>
      </c>
      <c r="L195" t="s">
        <v>497</v>
      </c>
      <c r="M195">
        <v>3</v>
      </c>
      <c r="N195">
        <v>56891049.630000003</v>
      </c>
      <c r="O195">
        <v>95826584</v>
      </c>
      <c r="P195">
        <v>96345643</v>
      </c>
      <c r="Q195">
        <v>1470000</v>
      </c>
      <c r="R195">
        <v>1.68438769583657</v>
      </c>
      <c r="S195">
        <v>1.6935114332851799</v>
      </c>
      <c r="T195">
        <v>38.701394306122403</v>
      </c>
      <c r="U195">
        <v>3.1448017340259399E-3</v>
      </c>
      <c r="V195">
        <v>-53.4964076489631</v>
      </c>
      <c r="W195">
        <f t="shared" si="6"/>
        <v>5.2970653466388028E-3</v>
      </c>
      <c r="X195">
        <f t="shared" si="7"/>
        <v>3.9931803089734968E-3</v>
      </c>
      <c r="Y195">
        <f t="shared" si="8"/>
        <v>-0.6353244205113513</v>
      </c>
    </row>
    <row r="196" spans="11:25" x14ac:dyDescent="0.4">
      <c r="K196">
        <v>955</v>
      </c>
      <c r="L196" t="s">
        <v>498</v>
      </c>
      <c r="M196">
        <v>3</v>
      </c>
      <c r="N196">
        <v>19222702.5</v>
      </c>
      <c r="O196">
        <v>30090844</v>
      </c>
      <c r="P196">
        <v>29849614</v>
      </c>
      <c r="Q196">
        <v>1200000</v>
      </c>
      <c r="R196">
        <v>1.5653805181659499</v>
      </c>
      <c r="S196">
        <v>1.5528312941429501</v>
      </c>
      <c r="T196">
        <v>16.018918750000001</v>
      </c>
      <c r="U196">
        <v>1.0625852141561999E-3</v>
      </c>
      <c r="V196">
        <v>-92.032108176411697</v>
      </c>
      <c r="W196">
        <f t="shared" ref="W196:W245" si="9">R196*U196</f>
        <v>1.6633501931313092E-3</v>
      </c>
      <c r="X196">
        <f t="shared" ref="X196:X245" si="10">(R196-$W$246)^2*U196</f>
        <v>1.6492798214409511E-3</v>
      </c>
      <c r="Y196">
        <f t="shared" ref="Y196:Y245" si="11">(R196-$W$246)/$X$246</f>
        <v>-0.7024218495140645</v>
      </c>
    </row>
    <row r="197" spans="11:25" x14ac:dyDescent="0.4">
      <c r="K197">
        <v>961</v>
      </c>
      <c r="L197" t="s">
        <v>499</v>
      </c>
      <c r="M197">
        <v>3</v>
      </c>
      <c r="N197">
        <v>67708222.400000006</v>
      </c>
      <c r="O197">
        <v>93158528</v>
      </c>
      <c r="P197">
        <v>94920281</v>
      </c>
      <c r="Q197">
        <v>2265953</v>
      </c>
      <c r="R197">
        <v>1.3758820523990001</v>
      </c>
      <c r="S197">
        <v>1.4019018316451901</v>
      </c>
      <c r="T197">
        <v>29.880682609039098</v>
      </c>
      <c r="U197">
        <v>3.7427492829918202E-3</v>
      </c>
      <c r="V197">
        <v>-49.037225132631498</v>
      </c>
      <c r="W197">
        <f t="shared" si="9"/>
        <v>5.1495815650976712E-3</v>
      </c>
      <c r="X197">
        <f t="shared" si="10"/>
        <v>7.7108920339468727E-3</v>
      </c>
      <c r="Y197">
        <f t="shared" si="11"/>
        <v>-0.80926296701466038</v>
      </c>
    </row>
    <row r="198" spans="11:25" x14ac:dyDescent="0.4">
      <c r="K198">
        <v>964</v>
      </c>
      <c r="L198" t="s">
        <v>500</v>
      </c>
      <c r="M198">
        <v>3</v>
      </c>
      <c r="N198">
        <v>62888400</v>
      </c>
      <c r="O198">
        <v>184727797</v>
      </c>
      <c r="P198">
        <v>195396622</v>
      </c>
      <c r="Q198">
        <v>4500000</v>
      </c>
      <c r="R198">
        <v>2.9373906316586198</v>
      </c>
      <c r="S198">
        <v>3.1070375776772798</v>
      </c>
      <c r="T198">
        <v>13.975199999999999</v>
      </c>
      <c r="U198">
        <v>3.4763209794221798E-3</v>
      </c>
      <c r="V198">
        <v>16.960555224442501</v>
      </c>
      <c r="W198">
        <f t="shared" si="9"/>
        <v>1.0211312677593029E-2</v>
      </c>
      <c r="X198">
        <f t="shared" si="10"/>
        <v>5.5331603248034665E-5</v>
      </c>
      <c r="Y198">
        <f t="shared" si="11"/>
        <v>7.1131082191212752E-2</v>
      </c>
    </row>
    <row r="199" spans="11:25" x14ac:dyDescent="0.4">
      <c r="K199">
        <v>966</v>
      </c>
      <c r="L199" t="s">
        <v>501</v>
      </c>
      <c r="M199">
        <v>3</v>
      </c>
      <c r="N199">
        <v>48168590.990000002</v>
      </c>
      <c r="O199">
        <v>96167027</v>
      </c>
      <c r="P199">
        <v>100743831</v>
      </c>
      <c r="Q199">
        <v>1882500</v>
      </c>
      <c r="R199">
        <v>1.9964675117851101</v>
      </c>
      <c r="S199">
        <v>2.09148386800259</v>
      </c>
      <c r="T199">
        <v>25.587564934926899</v>
      </c>
      <c r="U199">
        <v>2.6626449934764301E-3</v>
      </c>
      <c r="V199">
        <v>-58.138606949160597</v>
      </c>
      <c r="W199">
        <f t="shared" si="9"/>
        <v>5.3158842248929687E-3</v>
      </c>
      <c r="X199">
        <f t="shared" si="10"/>
        <v>1.7675611167550715E-3</v>
      </c>
      <c r="Y199">
        <f t="shared" si="11"/>
        <v>-0.45937072004008556</v>
      </c>
    </row>
    <row r="200" spans="11:25" x14ac:dyDescent="0.4">
      <c r="K200">
        <v>967</v>
      </c>
      <c r="L200" t="s">
        <v>502</v>
      </c>
      <c r="M200">
        <v>3</v>
      </c>
      <c r="N200">
        <v>71536666.400000006</v>
      </c>
      <c r="O200">
        <v>144491609</v>
      </c>
      <c r="P200">
        <v>146447571</v>
      </c>
      <c r="Q200">
        <v>4181300</v>
      </c>
      <c r="R200">
        <v>2.0198258637335602</v>
      </c>
      <c r="S200">
        <v>2.0471679541388301</v>
      </c>
      <c r="T200">
        <v>17.108714131968501</v>
      </c>
      <c r="U200">
        <v>3.9543765496378603E-3</v>
      </c>
      <c r="V200">
        <v>-47.7070149851737</v>
      </c>
      <c r="W200">
        <f t="shared" si="9"/>
        <v>7.987152029900026E-3</v>
      </c>
      <c r="X200">
        <f t="shared" si="10"/>
        <v>2.4767019655312747E-3</v>
      </c>
      <c r="Y200">
        <f t="shared" si="11"/>
        <v>-0.44620104916679298</v>
      </c>
    </row>
    <row r="201" spans="11:25" x14ac:dyDescent="0.4">
      <c r="K201">
        <v>968</v>
      </c>
      <c r="L201" t="s">
        <v>503</v>
      </c>
      <c r="M201">
        <v>3</v>
      </c>
      <c r="N201">
        <v>92252501</v>
      </c>
      <c r="O201">
        <v>154577586</v>
      </c>
      <c r="P201">
        <v>155912696</v>
      </c>
      <c r="Q201">
        <v>3397274</v>
      </c>
      <c r="R201">
        <v>1.6755923614471899</v>
      </c>
      <c r="S201">
        <v>1.6900647062132199</v>
      </c>
      <c r="T201">
        <v>27.154860338023902</v>
      </c>
      <c r="U201">
        <v>5.0994985502964803E-3</v>
      </c>
      <c r="V201">
        <v>-42.010467879125699</v>
      </c>
      <c r="W201">
        <f t="shared" si="9"/>
        <v>8.5446808180878013E-3</v>
      </c>
      <c r="X201">
        <f t="shared" si="10"/>
        <v>6.5766752613177831E-3</v>
      </c>
      <c r="Y201">
        <f t="shared" si="11"/>
        <v>-0.64028331741402311</v>
      </c>
    </row>
    <row r="202" spans="11:25" x14ac:dyDescent="0.4">
      <c r="K202">
        <v>971</v>
      </c>
      <c r="L202" t="s">
        <v>504</v>
      </c>
      <c r="M202">
        <v>3</v>
      </c>
      <c r="N202">
        <v>83006534.700000003</v>
      </c>
      <c r="O202">
        <v>131872824</v>
      </c>
      <c r="P202">
        <v>133134455</v>
      </c>
      <c r="Q202">
        <v>1795315</v>
      </c>
      <c r="R202">
        <v>1.5887041240380799</v>
      </c>
      <c r="S202">
        <v>1.60390330088071</v>
      </c>
      <c r="T202">
        <v>46.235081141749497</v>
      </c>
      <c r="U202">
        <v>4.5884035530677396E-3</v>
      </c>
      <c r="V202">
        <v>-44.288446924520599</v>
      </c>
      <c r="W202">
        <f t="shared" si="9"/>
        <v>7.2896156475096971E-3</v>
      </c>
      <c r="X202">
        <f t="shared" si="10"/>
        <v>6.8576788358426215E-3</v>
      </c>
      <c r="Y202">
        <f t="shared" si="11"/>
        <v>-0.68927176882377306</v>
      </c>
    </row>
    <row r="203" spans="11:25" x14ac:dyDescent="0.4">
      <c r="K203">
        <v>979</v>
      </c>
      <c r="L203" t="s">
        <v>505</v>
      </c>
      <c r="M203">
        <v>3</v>
      </c>
      <c r="N203">
        <v>90571302.349999994</v>
      </c>
      <c r="O203">
        <v>350956423</v>
      </c>
      <c r="P203">
        <v>355535664</v>
      </c>
      <c r="Q203">
        <v>1132939</v>
      </c>
      <c r="R203">
        <v>3.87491858783015</v>
      </c>
      <c r="S203">
        <v>3.9254781015081601</v>
      </c>
      <c r="T203">
        <v>79.943670709543895</v>
      </c>
      <c r="U203">
        <v>5.0065658928020798E-3</v>
      </c>
      <c r="V203">
        <v>42.398577552894103</v>
      </c>
      <c r="W203">
        <f t="shared" si="9"/>
        <v>1.940003523921523E-2</v>
      </c>
      <c r="X203">
        <f t="shared" si="10"/>
        <v>5.6646047097425236E-3</v>
      </c>
      <c r="Y203">
        <f t="shared" si="11"/>
        <v>0.59971865739935903</v>
      </c>
    </row>
    <row r="204" spans="11:25" x14ac:dyDescent="0.4">
      <c r="K204">
        <v>980</v>
      </c>
      <c r="L204" t="s">
        <v>506</v>
      </c>
      <c r="M204">
        <v>3</v>
      </c>
      <c r="N204">
        <v>38000887.5</v>
      </c>
      <c r="O204">
        <v>81175827</v>
      </c>
      <c r="P204">
        <v>82878899</v>
      </c>
      <c r="Q204">
        <v>1300000</v>
      </c>
      <c r="R204">
        <v>2.1361560831967399</v>
      </c>
      <c r="S204">
        <v>2.1809727207029002</v>
      </c>
      <c r="T204">
        <v>29.2314519230769</v>
      </c>
      <c r="U204">
        <v>2.10059855955807E-3</v>
      </c>
      <c r="V204">
        <v>-65.456039321616203</v>
      </c>
      <c r="W204">
        <f t="shared" si="9"/>
        <v>4.4872063913542802E-3</v>
      </c>
      <c r="X204">
        <f t="shared" si="10"/>
        <v>9.5729250613890465E-4</v>
      </c>
      <c r="Y204">
        <f t="shared" si="11"/>
        <v>-0.38061291579466844</v>
      </c>
    </row>
    <row r="205" spans="11:25" x14ac:dyDescent="0.4">
      <c r="K205">
        <v>987</v>
      </c>
      <c r="L205" t="s">
        <v>196</v>
      </c>
      <c r="M205">
        <v>3</v>
      </c>
      <c r="N205">
        <v>105199655</v>
      </c>
      <c r="O205">
        <v>153973459</v>
      </c>
      <c r="P205">
        <v>154872151</v>
      </c>
      <c r="Q205">
        <v>2528282</v>
      </c>
      <c r="R205">
        <v>1.4636308360516901</v>
      </c>
      <c r="S205">
        <v>1.4721735636870601</v>
      </c>
      <c r="T205">
        <v>41.609146052536801</v>
      </c>
      <c r="U205">
        <v>5.8151863889759504E-3</v>
      </c>
      <c r="V205">
        <v>-39.340460119500797</v>
      </c>
      <c r="W205">
        <f t="shared" si="9"/>
        <v>8.5112861162932787E-3</v>
      </c>
      <c r="X205">
        <f t="shared" si="10"/>
        <v>1.0560502258248628E-2</v>
      </c>
      <c r="Y205">
        <f t="shared" si="11"/>
        <v>-0.75978933108400726</v>
      </c>
    </row>
    <row r="206" spans="11:25" x14ac:dyDescent="0.4">
      <c r="K206">
        <v>988</v>
      </c>
      <c r="L206" t="s">
        <v>507</v>
      </c>
      <c r="M206">
        <v>3</v>
      </c>
      <c r="N206">
        <v>29721730.780000001</v>
      </c>
      <c r="O206">
        <v>121794661</v>
      </c>
      <c r="P206">
        <v>123019911</v>
      </c>
      <c r="Q206">
        <v>576000</v>
      </c>
      <c r="R206">
        <v>4.0978320509502897</v>
      </c>
      <c r="S206">
        <v>4.1390560970554597</v>
      </c>
      <c r="T206">
        <v>51.600227048611103</v>
      </c>
      <c r="U206">
        <v>1.64294649339547E-3</v>
      </c>
      <c r="V206">
        <v>24.671087302161901</v>
      </c>
      <c r="W206">
        <f t="shared" si="9"/>
        <v>6.7325187986323459E-3</v>
      </c>
      <c r="X206">
        <f t="shared" si="10"/>
        <v>2.7196464811252963E-3</v>
      </c>
      <c r="Y206">
        <f t="shared" si="11"/>
        <v>0.72539948235639862</v>
      </c>
    </row>
    <row r="207" spans="11:25" x14ac:dyDescent="0.4">
      <c r="K207">
        <v>997</v>
      </c>
      <c r="L207" t="s">
        <v>508</v>
      </c>
      <c r="M207">
        <v>3</v>
      </c>
      <c r="N207">
        <v>45133153</v>
      </c>
      <c r="O207">
        <v>49145873</v>
      </c>
      <c r="P207">
        <v>47572646</v>
      </c>
      <c r="Q207">
        <v>1148298</v>
      </c>
      <c r="R207">
        <v>1.0889084793167401</v>
      </c>
      <c r="S207">
        <v>1.05405102098672</v>
      </c>
      <c r="T207">
        <v>39.3043904979369</v>
      </c>
      <c r="U207">
        <v>2.4948532104707801E-3</v>
      </c>
      <c r="V207">
        <v>-60.061857000241297</v>
      </c>
      <c r="W207">
        <f t="shared" si="9"/>
        <v>2.7166668155322242E-3</v>
      </c>
      <c r="X207">
        <f t="shared" si="10"/>
        <v>7.4007040750080017E-3</v>
      </c>
      <c r="Y207">
        <f t="shared" si="11"/>
        <v>-0.97106151834939647</v>
      </c>
    </row>
    <row r="208" spans="11:25" x14ac:dyDescent="0.4">
      <c r="K208">
        <v>1001</v>
      </c>
      <c r="L208" t="s">
        <v>84</v>
      </c>
      <c r="M208">
        <v>3</v>
      </c>
      <c r="N208">
        <v>53705448</v>
      </c>
      <c r="O208">
        <v>203354857</v>
      </c>
      <c r="P208">
        <v>203087610</v>
      </c>
      <c r="Q208">
        <v>3840000</v>
      </c>
      <c r="R208">
        <v>3.7864846970460002</v>
      </c>
      <c r="S208">
        <v>3.7815085352234599</v>
      </c>
      <c r="T208">
        <v>13.985793749999999</v>
      </c>
      <c r="U208">
        <v>2.9687092626250102E-3</v>
      </c>
      <c r="V208">
        <v>18.353384633228401</v>
      </c>
      <c r="W208">
        <f t="shared" si="9"/>
        <v>1.1240972192908316E-2</v>
      </c>
      <c r="X208">
        <f t="shared" si="10"/>
        <v>2.8236086455447037E-3</v>
      </c>
      <c r="Y208">
        <f t="shared" si="11"/>
        <v>0.54985875126204986</v>
      </c>
    </row>
    <row r="209" spans="11:25" x14ac:dyDescent="0.4">
      <c r="K209">
        <v>1002</v>
      </c>
      <c r="L209" t="s">
        <v>127</v>
      </c>
      <c r="M209">
        <v>3</v>
      </c>
      <c r="N209">
        <v>48426035.700000003</v>
      </c>
      <c r="O209">
        <v>155137919</v>
      </c>
      <c r="P209">
        <v>158343812</v>
      </c>
      <c r="Q209">
        <v>3829272</v>
      </c>
      <c r="R209">
        <v>3.2036055968132802</v>
      </c>
      <c r="S209">
        <v>3.26980744368467</v>
      </c>
      <c r="T209">
        <v>12.6462773341773</v>
      </c>
      <c r="U209">
        <v>2.6768759239248802E-3</v>
      </c>
      <c r="V209">
        <v>19.327953815212901</v>
      </c>
      <c r="W209">
        <f t="shared" si="9"/>
        <v>8.5756546918604667E-3</v>
      </c>
      <c r="X209">
        <f t="shared" si="10"/>
        <v>4.1212982530661521E-4</v>
      </c>
      <c r="Y209">
        <f t="shared" si="11"/>
        <v>0.22122572415779035</v>
      </c>
    </row>
    <row r="210" spans="11:25" x14ac:dyDescent="0.4">
      <c r="K210">
        <v>1004</v>
      </c>
      <c r="L210" t="s">
        <v>509</v>
      </c>
      <c r="M210">
        <v>3</v>
      </c>
      <c r="N210">
        <v>68861510.819999993</v>
      </c>
      <c r="O210">
        <v>167977879</v>
      </c>
      <c r="P210">
        <v>162220122</v>
      </c>
      <c r="Q210">
        <v>5312965</v>
      </c>
      <c r="R210">
        <v>2.4393580245296098</v>
      </c>
      <c r="S210">
        <v>2.3557444509754299</v>
      </c>
      <c r="T210">
        <v>12.961032271057601</v>
      </c>
      <c r="U210">
        <v>3.8065003202223799E-3</v>
      </c>
      <c r="V210">
        <v>-48.624855013883199</v>
      </c>
      <c r="W210">
        <f t="shared" si="9"/>
        <v>9.2854171015089911E-3</v>
      </c>
      <c r="X210">
        <f t="shared" si="10"/>
        <v>5.2639389886295195E-4</v>
      </c>
      <c r="Y210">
        <f t="shared" si="11"/>
        <v>-0.20966464922562167</v>
      </c>
    </row>
    <row r="211" spans="11:25" x14ac:dyDescent="0.4">
      <c r="K211">
        <v>1006</v>
      </c>
      <c r="L211" t="s">
        <v>510</v>
      </c>
      <c r="M211">
        <v>3</v>
      </c>
      <c r="N211">
        <v>33442068</v>
      </c>
      <c r="O211">
        <v>99874474</v>
      </c>
      <c r="P211">
        <v>101482322</v>
      </c>
      <c r="Q211">
        <v>3713577</v>
      </c>
      <c r="R211">
        <v>2.98649216310426</v>
      </c>
      <c r="S211">
        <v>3.0345707687694401</v>
      </c>
      <c r="T211">
        <v>9.0053519827379294</v>
      </c>
      <c r="U211">
        <v>1.84859787470603E-3</v>
      </c>
      <c r="V211">
        <v>23.258343233283099</v>
      </c>
      <c r="W211">
        <f t="shared" si="9"/>
        <v>5.5208230655407493E-3</v>
      </c>
      <c r="X211">
        <f t="shared" si="10"/>
        <v>5.678359307206081E-5</v>
      </c>
      <c r="Y211">
        <f t="shared" si="11"/>
        <v>9.8815013400949267E-2</v>
      </c>
    </row>
    <row r="212" spans="11:25" x14ac:dyDescent="0.4">
      <c r="K212">
        <v>1007</v>
      </c>
      <c r="L212" t="s">
        <v>224</v>
      </c>
      <c r="M212">
        <v>3</v>
      </c>
      <c r="N212">
        <v>229205523.85600001</v>
      </c>
      <c r="O212">
        <v>190481249</v>
      </c>
      <c r="P212">
        <v>186906230</v>
      </c>
      <c r="Q212">
        <v>4125225</v>
      </c>
      <c r="R212">
        <v>0.83104999301705795</v>
      </c>
      <c r="S212">
        <v>0.81545255478844902</v>
      </c>
      <c r="T212">
        <v>55.561944828706302</v>
      </c>
      <c r="U212">
        <v>1.2669935491761E-2</v>
      </c>
      <c r="V212">
        <v>-26.652260711319698</v>
      </c>
      <c r="W212">
        <f t="shared" si="9"/>
        <v>1.0529349801954553E-2</v>
      </c>
      <c r="X212">
        <f t="shared" si="10"/>
        <v>4.9680205629878044E-2</v>
      </c>
      <c r="Y212">
        <f t="shared" si="11"/>
        <v>-1.1164446945232431</v>
      </c>
    </row>
    <row r="213" spans="11:25" x14ac:dyDescent="0.4">
      <c r="K213">
        <v>1013</v>
      </c>
      <c r="L213" t="s">
        <v>511</v>
      </c>
      <c r="M213">
        <v>3</v>
      </c>
      <c r="N213">
        <v>117468504.40000001</v>
      </c>
      <c r="O213">
        <v>386757023</v>
      </c>
      <c r="P213">
        <v>386364872</v>
      </c>
      <c r="Q213">
        <v>9873096</v>
      </c>
      <c r="R213">
        <v>3.2924316605157999</v>
      </c>
      <c r="S213">
        <v>3.2890933103597</v>
      </c>
      <c r="T213">
        <v>11.8978387731669</v>
      </c>
      <c r="U213">
        <v>6.4933791647913798E-3</v>
      </c>
      <c r="V213">
        <v>12.4097953160808</v>
      </c>
      <c r="W213">
        <f t="shared" si="9"/>
        <v>2.1379007145892782E-2</v>
      </c>
      <c r="X213">
        <f t="shared" si="10"/>
        <v>1.5035798112547772E-3</v>
      </c>
      <c r="Y213">
        <f t="shared" si="11"/>
        <v>0.27130674128237076</v>
      </c>
    </row>
    <row r="214" spans="11:25" x14ac:dyDescent="0.4">
      <c r="K214">
        <v>1014</v>
      </c>
      <c r="L214" t="s">
        <v>512</v>
      </c>
      <c r="M214">
        <v>3</v>
      </c>
      <c r="N214">
        <v>30526118.190000001</v>
      </c>
      <c r="O214">
        <v>81813073</v>
      </c>
      <c r="P214">
        <v>82878982</v>
      </c>
      <c r="Q214">
        <v>1690970</v>
      </c>
      <c r="R214">
        <v>2.6801007743854202</v>
      </c>
      <c r="S214">
        <v>2.7150187090329099</v>
      </c>
      <c r="T214">
        <v>18.052430374282199</v>
      </c>
      <c r="U214">
        <v>1.6874111137223701E-3</v>
      </c>
      <c r="V214">
        <v>-73.031597768795294</v>
      </c>
      <c r="W214">
        <f t="shared" si="9"/>
        <v>4.5224318325938883E-3</v>
      </c>
      <c r="X214">
        <f t="shared" si="10"/>
        <v>2.9014456369419604E-5</v>
      </c>
      <c r="Y214">
        <f t="shared" si="11"/>
        <v>-7.3931495288672031E-2</v>
      </c>
    </row>
    <row r="215" spans="11:25" x14ac:dyDescent="0.4">
      <c r="K215">
        <v>1018</v>
      </c>
      <c r="L215" t="s">
        <v>513</v>
      </c>
      <c r="M215">
        <v>3</v>
      </c>
      <c r="N215">
        <v>27592316.77</v>
      </c>
      <c r="O215">
        <v>114862944</v>
      </c>
      <c r="P215">
        <v>114875676</v>
      </c>
      <c r="Q215">
        <v>3200000</v>
      </c>
      <c r="R215">
        <v>4.1628597177053903</v>
      </c>
      <c r="S215">
        <v>4.1633211505059098</v>
      </c>
      <c r="T215">
        <v>8.6225989906250007</v>
      </c>
      <c r="U215">
        <v>1.52523755825261E-3</v>
      </c>
      <c r="V215">
        <v>25.605381713507501</v>
      </c>
      <c r="W215">
        <f t="shared" si="9"/>
        <v>6.3493499911811187E-3</v>
      </c>
      <c r="X215">
        <f t="shared" si="10"/>
        <v>2.786464307696598E-3</v>
      </c>
      <c r="Y215">
        <f t="shared" si="11"/>
        <v>0.76206272686580623</v>
      </c>
    </row>
    <row r="216" spans="11:25" x14ac:dyDescent="0.4">
      <c r="K216">
        <v>1019</v>
      </c>
      <c r="L216" t="s">
        <v>36</v>
      </c>
      <c r="M216">
        <v>3</v>
      </c>
      <c r="N216">
        <v>99071535.150000006</v>
      </c>
      <c r="O216">
        <v>425031664</v>
      </c>
      <c r="P216">
        <v>429580607</v>
      </c>
      <c r="Q216">
        <v>5658394</v>
      </c>
      <c r="R216">
        <v>4.29014916702842</v>
      </c>
      <c r="S216">
        <v>4.3360649085490603</v>
      </c>
      <c r="T216">
        <v>17.508772833775801</v>
      </c>
      <c r="U216">
        <v>5.4764385181608503E-3</v>
      </c>
      <c r="V216">
        <v>13.512972464827801</v>
      </c>
      <c r="W216">
        <f t="shared" si="9"/>
        <v>2.3494738146970128E-2</v>
      </c>
      <c r="X216">
        <f t="shared" si="10"/>
        <v>1.197809009930063E-2</v>
      </c>
      <c r="Y216">
        <f t="shared" si="11"/>
        <v>0.83382978290325871</v>
      </c>
    </row>
    <row r="217" spans="11:25" x14ac:dyDescent="0.4">
      <c r="K217">
        <v>1020</v>
      </c>
      <c r="L217" t="s">
        <v>514</v>
      </c>
      <c r="M217">
        <v>3</v>
      </c>
      <c r="N217">
        <v>39682644.539999999</v>
      </c>
      <c r="O217">
        <v>129133163</v>
      </c>
      <c r="P217">
        <v>126927167</v>
      </c>
      <c r="Q217">
        <v>4640199</v>
      </c>
      <c r="R217">
        <v>3.2541471088156402</v>
      </c>
      <c r="S217">
        <v>3.1985561565096199</v>
      </c>
      <c r="T217">
        <v>8.5519273074279791</v>
      </c>
      <c r="U217">
        <v>2.1935620835218401E-3</v>
      </c>
      <c r="V217">
        <v>21.351335003892899</v>
      </c>
      <c r="W217">
        <f t="shared" si="9"/>
        <v>7.1381737121002081E-3</v>
      </c>
      <c r="X217">
        <f t="shared" si="10"/>
        <v>4.3032488350354544E-4</v>
      </c>
      <c r="Y217">
        <f t="shared" si="11"/>
        <v>0.24972153071035036</v>
      </c>
    </row>
    <row r="218" spans="11:25" x14ac:dyDescent="0.4">
      <c r="K218">
        <v>1029</v>
      </c>
      <c r="L218" t="s">
        <v>515</v>
      </c>
      <c r="M218">
        <v>3</v>
      </c>
      <c r="N218">
        <v>37030159.799999997</v>
      </c>
      <c r="O218">
        <v>89809568</v>
      </c>
      <c r="P218">
        <v>91763788</v>
      </c>
      <c r="Q218">
        <v>1867162</v>
      </c>
      <c r="R218">
        <v>2.42530868041244</v>
      </c>
      <c r="S218">
        <v>2.4780824197253399</v>
      </c>
      <c r="T218">
        <v>19.8323229585863</v>
      </c>
      <c r="U218">
        <v>2.0469390441495701E-3</v>
      </c>
      <c r="V218">
        <v>-66.308438333675198</v>
      </c>
      <c r="W218">
        <f t="shared" si="9"/>
        <v>4.9644590320510953E-3</v>
      </c>
      <c r="X218">
        <f t="shared" si="10"/>
        <v>3.0486010642602962E-4</v>
      </c>
      <c r="Y218">
        <f t="shared" si="11"/>
        <v>-0.21758580900680363</v>
      </c>
    </row>
    <row r="219" spans="11:25" x14ac:dyDescent="0.4">
      <c r="K219">
        <v>1030</v>
      </c>
      <c r="L219" t="s">
        <v>121</v>
      </c>
      <c r="M219">
        <v>3</v>
      </c>
      <c r="N219">
        <v>159991800</v>
      </c>
      <c r="O219">
        <v>240323157</v>
      </c>
      <c r="P219">
        <v>248309122</v>
      </c>
      <c r="Q219">
        <v>4147000</v>
      </c>
      <c r="R219">
        <v>1.5020967137065699</v>
      </c>
      <c r="S219">
        <v>1.5520115530920899</v>
      </c>
      <c r="T219">
        <v>38.5801302146129</v>
      </c>
      <c r="U219">
        <v>8.8439656737254804E-3</v>
      </c>
      <c r="V219">
        <v>-31.900517662336501</v>
      </c>
      <c r="W219">
        <f t="shared" si="9"/>
        <v>1.3284491774636755E-2</v>
      </c>
      <c r="X219">
        <f t="shared" si="10"/>
        <v>1.5157034260057024E-2</v>
      </c>
      <c r="Y219">
        <f t="shared" si="11"/>
        <v>-0.73810188713740121</v>
      </c>
    </row>
    <row r="220" spans="11:25" x14ac:dyDescent="0.4">
      <c r="K220">
        <v>1032</v>
      </c>
      <c r="L220" t="s">
        <v>516</v>
      </c>
      <c r="M220">
        <v>3</v>
      </c>
      <c r="N220">
        <v>12752223.85</v>
      </c>
      <c r="O220">
        <v>56816638</v>
      </c>
      <c r="P220">
        <v>57411377</v>
      </c>
      <c r="Q220">
        <v>311030</v>
      </c>
      <c r="R220">
        <v>4.4554297876444497</v>
      </c>
      <c r="S220">
        <v>4.50206784913048</v>
      </c>
      <c r="T220">
        <v>40.999980226987702</v>
      </c>
      <c r="U220">
        <v>7.04912564225563E-4</v>
      </c>
      <c r="V220">
        <v>37.664514551432802</v>
      </c>
      <c r="W220">
        <f t="shared" si="9"/>
        <v>3.1406884363354049E-3</v>
      </c>
      <c r="X220">
        <f t="shared" si="10"/>
        <v>1.9056575614670665E-3</v>
      </c>
      <c r="Y220">
        <f t="shared" si="11"/>
        <v>0.92701663872469764</v>
      </c>
    </row>
    <row r="221" spans="11:25" x14ac:dyDescent="0.4">
      <c r="K221">
        <v>1033</v>
      </c>
      <c r="L221" t="s">
        <v>136</v>
      </c>
      <c r="M221">
        <v>3</v>
      </c>
      <c r="N221">
        <v>93593272.700000003</v>
      </c>
      <c r="O221">
        <v>271469147</v>
      </c>
      <c r="P221">
        <v>273857111</v>
      </c>
      <c r="Q221">
        <v>4000000</v>
      </c>
      <c r="R221">
        <v>2.90051986824048</v>
      </c>
      <c r="S221">
        <v>2.9260341379215302</v>
      </c>
      <c r="T221">
        <v>23.398318175</v>
      </c>
      <c r="U221">
        <v>5.1736132167425298E-3</v>
      </c>
      <c r="V221">
        <v>13.902823883537399</v>
      </c>
      <c r="W221">
        <f t="shared" si="9"/>
        <v>1.5006167925753249E-2</v>
      </c>
      <c r="X221">
        <f t="shared" si="10"/>
        <v>4.1248327178123239E-5</v>
      </c>
      <c r="Y221">
        <f t="shared" si="11"/>
        <v>5.0342979497342857E-2</v>
      </c>
    </row>
    <row r="222" spans="11:25" x14ac:dyDescent="0.4">
      <c r="K222">
        <v>1039</v>
      </c>
      <c r="L222" t="s">
        <v>517</v>
      </c>
      <c r="M222">
        <v>3</v>
      </c>
      <c r="N222">
        <v>127658580</v>
      </c>
      <c r="O222">
        <v>567061477</v>
      </c>
      <c r="P222">
        <v>571638315</v>
      </c>
      <c r="Q222">
        <v>8580382</v>
      </c>
      <c r="R222">
        <v>4.4420161731393204</v>
      </c>
      <c r="S222">
        <v>4.4778683500944396</v>
      </c>
      <c r="T222">
        <v>14.877959978938</v>
      </c>
      <c r="U222">
        <v>7.0566622756699903E-3</v>
      </c>
      <c r="V222">
        <v>11.9042032540249</v>
      </c>
      <c r="W222">
        <f t="shared" si="9"/>
        <v>3.1345807956908216E-2</v>
      </c>
      <c r="X222">
        <f t="shared" si="10"/>
        <v>1.8766955026581603E-2</v>
      </c>
      <c r="Y222">
        <f t="shared" si="11"/>
        <v>0.9194539096142007</v>
      </c>
    </row>
    <row r="223" spans="11:25" x14ac:dyDescent="0.4">
      <c r="K223">
        <v>1040</v>
      </c>
      <c r="L223" t="s">
        <v>518</v>
      </c>
      <c r="M223">
        <v>3</v>
      </c>
      <c r="N223">
        <v>46428996.899999999</v>
      </c>
      <c r="O223">
        <v>222512842</v>
      </c>
      <c r="P223">
        <v>220976117</v>
      </c>
      <c r="Q223">
        <v>4380000</v>
      </c>
      <c r="R223">
        <v>4.7925403703908103</v>
      </c>
      <c r="S223">
        <v>4.7594419813967503</v>
      </c>
      <c r="T223">
        <v>10.6002276027397</v>
      </c>
      <c r="U223">
        <v>2.5664843751311401E-3</v>
      </c>
      <c r="V223">
        <v>19.7392518284849</v>
      </c>
      <c r="W223">
        <f t="shared" si="9"/>
        <v>1.229997997779322E-2</v>
      </c>
      <c r="X223">
        <f t="shared" si="10"/>
        <v>1.0074975793293372E-2</v>
      </c>
      <c r="Y223">
        <f t="shared" si="11"/>
        <v>1.1170829341753068</v>
      </c>
    </row>
    <row r="224" spans="11:25" x14ac:dyDescent="0.4">
      <c r="K224">
        <v>1045</v>
      </c>
      <c r="L224" t="s">
        <v>519</v>
      </c>
      <c r="M224">
        <v>3</v>
      </c>
      <c r="N224">
        <v>32063002.399999999</v>
      </c>
      <c r="O224">
        <v>54852509</v>
      </c>
      <c r="P224">
        <v>53400694</v>
      </c>
      <c r="Q224">
        <v>1145886</v>
      </c>
      <c r="R224">
        <v>1.7107726942003401</v>
      </c>
      <c r="S224">
        <v>1.66549262398458</v>
      </c>
      <c r="T224">
        <v>27.980970532845301</v>
      </c>
      <c r="U224">
        <v>1.77236641266726E-3</v>
      </c>
      <c r="V224">
        <v>-71.259783583650005</v>
      </c>
      <c r="W224">
        <f t="shared" si="9"/>
        <v>3.0321160629089602E-3</v>
      </c>
      <c r="X224">
        <f t="shared" si="10"/>
        <v>2.1463436439702779E-3</v>
      </c>
      <c r="Y224">
        <f t="shared" si="11"/>
        <v>-0.62044829632202159</v>
      </c>
    </row>
    <row r="225" spans="11:25" x14ac:dyDescent="0.4">
      <c r="K225">
        <v>1052</v>
      </c>
      <c r="L225" t="s">
        <v>190</v>
      </c>
      <c r="M225">
        <v>3</v>
      </c>
      <c r="N225">
        <v>95657749.200000003</v>
      </c>
      <c r="O225">
        <v>173181752</v>
      </c>
      <c r="P225">
        <v>174652227</v>
      </c>
      <c r="Q225">
        <v>2448127</v>
      </c>
      <c r="R225">
        <v>1.81043097342708</v>
      </c>
      <c r="S225">
        <v>1.8258032251505201</v>
      </c>
      <c r="T225">
        <v>39.0738508255494</v>
      </c>
      <c r="U225">
        <v>5.2877325609852503E-3</v>
      </c>
      <c r="V225">
        <v>-41.255942576861699</v>
      </c>
      <c r="W225">
        <f t="shared" si="9"/>
        <v>9.5730748076065936E-3</v>
      </c>
      <c r="X225">
        <f t="shared" si="10"/>
        <v>5.2961772898968747E-3</v>
      </c>
      <c r="Y225">
        <f t="shared" si="11"/>
        <v>-0.56425996847631754</v>
      </c>
    </row>
    <row r="226" spans="11:25" x14ac:dyDescent="0.4">
      <c r="K226">
        <v>1053</v>
      </c>
      <c r="L226" t="s">
        <v>520</v>
      </c>
      <c r="M226">
        <v>3</v>
      </c>
      <c r="N226">
        <v>69248557.150000006</v>
      </c>
      <c r="O226">
        <v>298373633</v>
      </c>
      <c r="P226">
        <v>299238771</v>
      </c>
      <c r="Q226">
        <v>7671341</v>
      </c>
      <c r="R226">
        <v>4.3087342939678797</v>
      </c>
      <c r="S226">
        <v>4.3212275217780398</v>
      </c>
      <c r="T226">
        <v>9.0269168258848094</v>
      </c>
      <c r="U226">
        <v>3.8278953195702301E-3</v>
      </c>
      <c r="V226">
        <v>16.162925592950401</v>
      </c>
      <c r="W226">
        <f t="shared" si="9"/>
        <v>1.6493383837151387E-2</v>
      </c>
      <c r="X226">
        <f t="shared" si="10"/>
        <v>8.5841378575731778E-3</v>
      </c>
      <c r="Y226">
        <f t="shared" si="11"/>
        <v>0.84430826209867504</v>
      </c>
    </row>
    <row r="227" spans="11:25" x14ac:dyDescent="0.4">
      <c r="K227">
        <v>1054</v>
      </c>
      <c r="L227" t="s">
        <v>64</v>
      </c>
      <c r="M227">
        <v>3</v>
      </c>
      <c r="N227">
        <v>61196816</v>
      </c>
      <c r="O227">
        <v>238723524</v>
      </c>
      <c r="P227">
        <v>236125746</v>
      </c>
      <c r="Q227">
        <v>3542306</v>
      </c>
      <c r="R227">
        <v>3.9009141259898201</v>
      </c>
      <c r="S227">
        <v>3.85846456456165</v>
      </c>
      <c r="T227">
        <v>17.2759823685474</v>
      </c>
      <c r="U227">
        <v>3.3828142445131199E-3</v>
      </c>
      <c r="V227">
        <v>17.193366650866398</v>
      </c>
      <c r="W227">
        <f t="shared" si="9"/>
        <v>1.319606787202081E-2</v>
      </c>
      <c r="X227">
        <f t="shared" si="10"/>
        <v>4.0167985947790683E-3</v>
      </c>
      <c r="Y227">
        <f t="shared" si="11"/>
        <v>0.61437520005667134</v>
      </c>
    </row>
    <row r="228" spans="11:25" x14ac:dyDescent="0.4">
      <c r="K228">
        <v>1059</v>
      </c>
      <c r="L228" t="s">
        <v>95</v>
      </c>
      <c r="M228">
        <v>3</v>
      </c>
      <c r="N228">
        <v>160595586.40000001</v>
      </c>
      <c r="O228">
        <v>278472574</v>
      </c>
      <c r="P228">
        <v>285054862</v>
      </c>
      <c r="Q228">
        <v>8709100</v>
      </c>
      <c r="R228">
        <v>1.7339989238957001</v>
      </c>
      <c r="S228">
        <v>1.7749856542757301</v>
      </c>
      <c r="T228">
        <v>18.439975014639799</v>
      </c>
      <c r="U228">
        <v>8.87734154796317E-3</v>
      </c>
      <c r="V228">
        <v>-31.840493482639001</v>
      </c>
      <c r="W228">
        <f t="shared" si="9"/>
        <v>1.5393300691222725E-2</v>
      </c>
      <c r="X228">
        <f t="shared" si="10"/>
        <v>1.0301489201908378E-2</v>
      </c>
      <c r="Y228">
        <f t="shared" si="11"/>
        <v>-0.60735311728754005</v>
      </c>
    </row>
    <row r="229" spans="11:25" x14ac:dyDescent="0.4">
      <c r="K229">
        <v>1066</v>
      </c>
      <c r="L229" t="s">
        <v>521</v>
      </c>
      <c r="M229">
        <v>3</v>
      </c>
      <c r="N229">
        <v>79991525.120000005</v>
      </c>
      <c r="O229">
        <v>319624699</v>
      </c>
      <c r="P229">
        <v>315395623</v>
      </c>
      <c r="Q229">
        <v>2965782</v>
      </c>
      <c r="R229">
        <v>3.9957320293682601</v>
      </c>
      <c r="S229">
        <v>3.9428629786324998</v>
      </c>
      <c r="T229">
        <v>26.971478389173502</v>
      </c>
      <c r="U229">
        <v>4.42174100391538E-3</v>
      </c>
      <c r="V229">
        <v>15.038459464894</v>
      </c>
      <c r="W229">
        <f t="shared" si="9"/>
        <v>1.766809215491565E-2</v>
      </c>
      <c r="X229">
        <f t="shared" si="10"/>
        <v>6.2039104964166378E-3</v>
      </c>
      <c r="Y229">
        <f t="shared" si="11"/>
        <v>0.66783447591421174</v>
      </c>
    </row>
    <row r="230" spans="11:25" x14ac:dyDescent="0.4">
      <c r="K230">
        <v>1072</v>
      </c>
      <c r="L230" t="s">
        <v>522</v>
      </c>
      <c r="M230">
        <v>3</v>
      </c>
      <c r="N230">
        <v>46792236.140000001</v>
      </c>
      <c r="O230">
        <v>101721198</v>
      </c>
      <c r="P230">
        <v>100360547</v>
      </c>
      <c r="Q230">
        <v>3472000</v>
      </c>
      <c r="R230">
        <v>2.1738905081529998</v>
      </c>
      <c r="S230">
        <v>2.1448119448646601</v>
      </c>
      <c r="T230">
        <v>13.4770265380184</v>
      </c>
      <c r="U230">
        <v>2.5865633752418299E-3</v>
      </c>
      <c r="V230">
        <v>-58.987459585775397</v>
      </c>
      <c r="W230">
        <f t="shared" si="9"/>
        <v>5.6229055701744E-3</v>
      </c>
      <c r="X230">
        <f t="shared" si="10"/>
        <v>1.0506635357531338E-3</v>
      </c>
      <c r="Y230">
        <f t="shared" si="11"/>
        <v>-0.35933787214588592</v>
      </c>
    </row>
    <row r="231" spans="11:25" x14ac:dyDescent="0.4">
      <c r="K231">
        <v>1073</v>
      </c>
      <c r="L231" t="s">
        <v>523</v>
      </c>
      <c r="M231">
        <v>3</v>
      </c>
      <c r="N231">
        <v>98492700</v>
      </c>
      <c r="O231">
        <v>203349496</v>
      </c>
      <c r="P231">
        <v>203524459</v>
      </c>
      <c r="Q231">
        <v>1700918</v>
      </c>
      <c r="R231">
        <v>2.06461490039363</v>
      </c>
      <c r="S231">
        <v>2.0663913061577102</v>
      </c>
      <c r="T231">
        <v>57.905613321747403</v>
      </c>
      <c r="U231">
        <v>5.4444418896002203E-3</v>
      </c>
      <c r="V231">
        <v>-13.5526217234111</v>
      </c>
      <c r="W231">
        <f t="shared" si="9"/>
        <v>1.1240675849595866E-2</v>
      </c>
      <c r="X231">
        <f t="shared" si="10"/>
        <v>3.0349109009685515E-3</v>
      </c>
      <c r="Y231">
        <f t="shared" si="11"/>
        <v>-0.42094854535801746</v>
      </c>
    </row>
    <row r="232" spans="11:25" x14ac:dyDescent="0.4">
      <c r="K232">
        <v>1084</v>
      </c>
      <c r="L232" t="s">
        <v>524</v>
      </c>
      <c r="M232">
        <v>3</v>
      </c>
      <c r="N232">
        <v>47700000</v>
      </c>
      <c r="O232">
        <v>291233288</v>
      </c>
      <c r="P232">
        <v>284285965</v>
      </c>
      <c r="Q232">
        <v>6875000</v>
      </c>
      <c r="R232">
        <v>6.1055196645702301</v>
      </c>
      <c r="S232">
        <v>5.95987348008385</v>
      </c>
      <c r="T232">
        <v>6.9381818181818096</v>
      </c>
      <c r="U232">
        <v>2.63674239952738E-3</v>
      </c>
      <c r="V232">
        <v>19.474492486297201</v>
      </c>
      <c r="W232">
        <f t="shared" si="9"/>
        <v>1.6098682570720512E-2</v>
      </c>
      <c r="X232">
        <f t="shared" si="10"/>
        <v>2.8614850918803541E-2</v>
      </c>
      <c r="Y232">
        <f t="shared" si="11"/>
        <v>1.8573537035323158</v>
      </c>
    </row>
    <row r="233" spans="11:25" x14ac:dyDescent="0.4">
      <c r="K233">
        <v>1092</v>
      </c>
      <c r="L233" t="s">
        <v>525</v>
      </c>
      <c r="M233">
        <v>3</v>
      </c>
      <c r="N233">
        <v>46178357.399999999</v>
      </c>
      <c r="O233">
        <v>154266909</v>
      </c>
      <c r="P233">
        <v>152376310</v>
      </c>
      <c r="Q233">
        <v>3120980</v>
      </c>
      <c r="R233">
        <v>3.3406755390567402</v>
      </c>
      <c r="S233">
        <v>3.2997343036718698</v>
      </c>
      <c r="T233">
        <v>14.7961080814359</v>
      </c>
      <c r="U233">
        <v>2.5526296204844601E-3</v>
      </c>
      <c r="V233">
        <v>19.792748113520702</v>
      </c>
      <c r="W233">
        <f t="shared" si="9"/>
        <v>8.5275073334241253E-3</v>
      </c>
      <c r="X233">
        <f t="shared" si="10"/>
        <v>7.1553641984480791E-4</v>
      </c>
      <c r="Y233">
        <f t="shared" si="11"/>
        <v>0.29850711926440743</v>
      </c>
    </row>
    <row r="234" spans="11:25" x14ac:dyDescent="0.4">
      <c r="K234">
        <v>1097</v>
      </c>
      <c r="L234" t="s">
        <v>526</v>
      </c>
      <c r="M234">
        <v>3</v>
      </c>
      <c r="N234">
        <v>32392039.260000002</v>
      </c>
      <c r="O234">
        <v>193566486</v>
      </c>
      <c r="P234">
        <v>192082327</v>
      </c>
      <c r="Q234">
        <v>2820902</v>
      </c>
      <c r="R234">
        <v>5.9757425102602104</v>
      </c>
      <c r="S234">
        <v>5.9299238759937198</v>
      </c>
      <c r="T234">
        <v>11.4828658563821</v>
      </c>
      <c r="U234">
        <v>1.7905547866666101E-3</v>
      </c>
      <c r="V234">
        <v>23.632310986010399</v>
      </c>
      <c r="W234">
        <f t="shared" si="9"/>
        <v>1.0699894355633564E-2</v>
      </c>
      <c r="X234">
        <f t="shared" si="10"/>
        <v>1.7930874628143752E-2</v>
      </c>
      <c r="Y234">
        <f t="shared" si="11"/>
        <v>1.7841840547100294</v>
      </c>
    </row>
    <row r="235" spans="11:25" x14ac:dyDescent="0.4">
      <c r="K235">
        <v>1098</v>
      </c>
      <c r="L235" t="s">
        <v>527</v>
      </c>
      <c r="M235">
        <v>3</v>
      </c>
      <c r="N235">
        <v>125066640</v>
      </c>
      <c r="O235">
        <v>69267390</v>
      </c>
      <c r="P235">
        <v>75083298</v>
      </c>
      <c r="Q235">
        <v>5509400</v>
      </c>
      <c r="R235">
        <v>0.55384385476414799</v>
      </c>
      <c r="S235">
        <v>0.60034632736595395</v>
      </c>
      <c r="T235">
        <v>22.700591715976302</v>
      </c>
      <c r="U235">
        <v>6.9133860053339101E-3</v>
      </c>
      <c r="V235">
        <v>-36.080774518271099</v>
      </c>
      <c r="W235">
        <f t="shared" si="9"/>
        <v>3.8289363546666474E-3</v>
      </c>
      <c r="X235">
        <f t="shared" si="10"/>
        <v>3.5229152812379004E-2</v>
      </c>
      <c r="Y235">
        <f t="shared" si="11"/>
        <v>-1.2727362690702864</v>
      </c>
    </row>
    <row r="236" spans="11:25" x14ac:dyDescent="0.4">
      <c r="K236">
        <v>1100</v>
      </c>
      <c r="L236" t="s">
        <v>528</v>
      </c>
      <c r="M236">
        <v>3</v>
      </c>
      <c r="N236">
        <v>55328477.600000001</v>
      </c>
      <c r="O236">
        <v>88351180</v>
      </c>
      <c r="P236">
        <v>90027974</v>
      </c>
      <c r="Q236">
        <v>2929200</v>
      </c>
      <c r="R236">
        <v>1.5968482024526101</v>
      </c>
      <c r="S236">
        <v>1.62715436797053</v>
      </c>
      <c r="T236">
        <v>18.888596749965799</v>
      </c>
      <c r="U236">
        <v>3.0584264735685701E-3</v>
      </c>
      <c r="V236">
        <v>-54.246563699428499</v>
      </c>
      <c r="W236">
        <f t="shared" si="9"/>
        <v>4.8838428166514463E-3</v>
      </c>
      <c r="X236">
        <f t="shared" si="10"/>
        <v>4.5103262005009789E-3</v>
      </c>
      <c r="Y236">
        <f t="shared" si="11"/>
        <v>-0.68468005650937902</v>
      </c>
    </row>
    <row r="237" spans="11:25" x14ac:dyDescent="0.4">
      <c r="K237">
        <v>1102</v>
      </c>
      <c r="L237" t="s">
        <v>529</v>
      </c>
      <c r="M237">
        <v>3</v>
      </c>
      <c r="N237">
        <v>57788234.799999997</v>
      </c>
      <c r="O237">
        <v>174612678</v>
      </c>
      <c r="P237">
        <v>188733747</v>
      </c>
      <c r="Q237">
        <v>813960</v>
      </c>
      <c r="R237">
        <v>3.0215956345494699</v>
      </c>
      <c r="S237">
        <v>3.2659545260932501</v>
      </c>
      <c r="T237">
        <v>70.996406211607393</v>
      </c>
      <c r="U237">
        <v>3.1943959935220902E-3</v>
      </c>
      <c r="V237">
        <v>53.079506752237798</v>
      </c>
      <c r="W237">
        <f t="shared" si="9"/>
        <v>9.6521729890486647E-3</v>
      </c>
      <c r="X237">
        <f t="shared" si="10"/>
        <v>1.41364950505739E-4</v>
      </c>
      <c r="Y237">
        <f t="shared" si="11"/>
        <v>0.11860669932398431</v>
      </c>
    </row>
    <row r="238" spans="11:25" x14ac:dyDescent="0.4">
      <c r="K238">
        <v>1105</v>
      </c>
      <c r="L238" t="s">
        <v>207</v>
      </c>
      <c r="M238">
        <v>3</v>
      </c>
      <c r="N238">
        <v>94124158.829999998</v>
      </c>
      <c r="O238">
        <v>174572404</v>
      </c>
      <c r="P238">
        <v>187035477</v>
      </c>
      <c r="Q238">
        <v>2175000</v>
      </c>
      <c r="R238">
        <v>1.85470347007615</v>
      </c>
      <c r="S238">
        <v>1.9871144595067101</v>
      </c>
      <c r="T238">
        <v>43.275475324137901</v>
      </c>
      <c r="U238">
        <v>5.2029593376710804E-3</v>
      </c>
      <c r="V238">
        <v>-41.5906817010585</v>
      </c>
      <c r="W238">
        <f t="shared" si="9"/>
        <v>9.6499467382436602E-3</v>
      </c>
      <c r="X238">
        <f t="shared" si="10"/>
        <v>4.7604030330052199E-3</v>
      </c>
      <c r="Y238">
        <f t="shared" si="11"/>
        <v>-0.53929869505711603</v>
      </c>
    </row>
    <row r="239" spans="11:25" x14ac:dyDescent="0.4">
      <c r="K239">
        <v>1114</v>
      </c>
      <c r="L239" t="s">
        <v>530</v>
      </c>
      <c r="M239">
        <v>3</v>
      </c>
      <c r="N239">
        <v>20221092</v>
      </c>
      <c r="O239">
        <v>125361555</v>
      </c>
      <c r="P239">
        <v>126685902</v>
      </c>
      <c r="Q239">
        <v>800000</v>
      </c>
      <c r="R239">
        <v>6.1995442679356696</v>
      </c>
      <c r="S239">
        <v>6.2650376151792297</v>
      </c>
      <c r="T239">
        <v>25.276364999999998</v>
      </c>
      <c r="U239">
        <v>1.11777380799044E-3</v>
      </c>
      <c r="V239">
        <v>29.910456099107801</v>
      </c>
      <c r="W239">
        <f t="shared" si="9"/>
        <v>6.9296882041757586E-3</v>
      </c>
      <c r="X239">
        <f t="shared" si="10"/>
        <v>1.2832802468009887E-2</v>
      </c>
      <c r="Y239">
        <f t="shared" si="11"/>
        <v>1.910365708961786</v>
      </c>
    </row>
    <row r="240" spans="11:25" x14ac:dyDescent="0.4">
      <c r="K240">
        <v>1115</v>
      </c>
      <c r="L240" t="s">
        <v>124</v>
      </c>
      <c r="M240">
        <v>3</v>
      </c>
      <c r="N240">
        <v>172850141.80000001</v>
      </c>
      <c r="O240">
        <v>230164387</v>
      </c>
      <c r="P240">
        <v>242384381</v>
      </c>
      <c r="Q240">
        <v>6084589</v>
      </c>
      <c r="R240">
        <v>1.33158344334086</v>
      </c>
      <c r="S240">
        <v>1.4022804868766301</v>
      </c>
      <c r="T240">
        <v>28.407858246464901</v>
      </c>
      <c r="U240">
        <v>9.5547441855006396E-3</v>
      </c>
      <c r="V240">
        <v>-30.691048304866701</v>
      </c>
      <c r="W240">
        <f t="shared" si="9"/>
        <v>1.2722939162770003E-2</v>
      </c>
      <c r="X240">
        <f t="shared" si="10"/>
        <v>2.0918693449601792E-2</v>
      </c>
      <c r="Y240">
        <f t="shared" si="11"/>
        <v>-0.8342389628694995</v>
      </c>
    </row>
    <row r="241" spans="11:25" x14ac:dyDescent="0.4">
      <c r="K241">
        <v>1118</v>
      </c>
      <c r="L241" t="s">
        <v>531</v>
      </c>
      <c r="M241">
        <v>3</v>
      </c>
      <c r="N241">
        <v>49171782.307999998</v>
      </c>
      <c r="O241">
        <v>169500921</v>
      </c>
      <c r="P241">
        <v>170550327</v>
      </c>
      <c r="Q241">
        <v>713400</v>
      </c>
      <c r="R241">
        <v>3.4471176972656301</v>
      </c>
      <c r="S241">
        <v>3.4684593275817099</v>
      </c>
      <c r="T241">
        <v>68.925963425847996</v>
      </c>
      <c r="U241">
        <v>2.71809902037388E-3</v>
      </c>
      <c r="V241">
        <v>57.542485599548499</v>
      </c>
      <c r="W241">
        <f t="shared" si="9"/>
        <v>9.3696072360511737E-3</v>
      </c>
      <c r="X241">
        <f t="shared" si="10"/>
        <v>1.0990747872496238E-3</v>
      </c>
      <c r="Y241">
        <f t="shared" si="11"/>
        <v>0.35852026547214028</v>
      </c>
    </row>
    <row r="242" spans="11:25" x14ac:dyDescent="0.4">
      <c r="K242">
        <v>1123</v>
      </c>
      <c r="L242" t="s">
        <v>27</v>
      </c>
      <c r="M242">
        <v>3</v>
      </c>
      <c r="N242">
        <v>94102344</v>
      </c>
      <c r="O242">
        <v>636639592</v>
      </c>
      <c r="P242">
        <v>649488555</v>
      </c>
      <c r="Q242">
        <v>4941723</v>
      </c>
      <c r="R242">
        <v>6.7653956845113203</v>
      </c>
      <c r="S242">
        <v>6.9019381175032102</v>
      </c>
      <c r="T242">
        <v>19.042415772798201</v>
      </c>
      <c r="U242">
        <v>5.2017534658220397E-3</v>
      </c>
      <c r="V242">
        <v>13.8651674010191</v>
      </c>
      <c r="W242">
        <f t="shared" si="9"/>
        <v>3.5191920449564235E-2</v>
      </c>
      <c r="X242">
        <f t="shared" si="10"/>
        <v>8.1331666651228887E-2</v>
      </c>
      <c r="Y242">
        <f t="shared" si="11"/>
        <v>2.2293983588650752</v>
      </c>
    </row>
    <row r="243" spans="11:25" x14ac:dyDescent="0.4">
      <c r="K243">
        <v>1134</v>
      </c>
      <c r="L243" t="s">
        <v>532</v>
      </c>
      <c r="M243">
        <v>3</v>
      </c>
      <c r="N243">
        <v>36849700.140000001</v>
      </c>
      <c r="O243">
        <v>95794097</v>
      </c>
      <c r="P243">
        <v>98711619</v>
      </c>
      <c r="Q243">
        <v>1103585</v>
      </c>
      <c r="R243">
        <v>2.5995895932953901</v>
      </c>
      <c r="S243">
        <v>2.6787631547875002</v>
      </c>
      <c r="T243">
        <v>33.390903410249301</v>
      </c>
      <c r="U243">
        <v>2.0369636639204999E-3</v>
      </c>
      <c r="V243">
        <v>-66.470602259543597</v>
      </c>
      <c r="W243">
        <f t="shared" si="9"/>
        <v>5.2952695426485797E-3</v>
      </c>
      <c r="X243">
        <f t="shared" si="10"/>
        <v>9.1238276687292106E-5</v>
      </c>
      <c r="Y243">
        <f t="shared" si="11"/>
        <v>-0.11932449899525877</v>
      </c>
    </row>
    <row r="244" spans="11:25" x14ac:dyDescent="0.4">
      <c r="K244">
        <v>1138</v>
      </c>
      <c r="L244" t="s">
        <v>33</v>
      </c>
      <c r="M244">
        <v>3</v>
      </c>
      <c r="N244">
        <v>43363451.920000002</v>
      </c>
      <c r="O244">
        <v>83809291</v>
      </c>
      <c r="P244">
        <v>85302940</v>
      </c>
      <c r="Q244">
        <v>1220625</v>
      </c>
      <c r="R244">
        <v>1.9327172374242101</v>
      </c>
      <c r="S244">
        <v>1.96716211978172</v>
      </c>
      <c r="T244">
        <v>35.525613452124901</v>
      </c>
      <c r="U244">
        <v>2.3970283494199399E-3</v>
      </c>
      <c r="V244">
        <v>-61.2751904143676</v>
      </c>
      <c r="W244">
        <f t="shared" si="9"/>
        <v>4.6327780095184205E-3</v>
      </c>
      <c r="X244">
        <f t="shared" si="10"/>
        <v>1.8499862714568402E-3</v>
      </c>
      <c r="Y244">
        <f t="shared" si="11"/>
        <v>-0.49531375802786892</v>
      </c>
    </row>
    <row r="245" spans="11:25" x14ac:dyDescent="0.4">
      <c r="K245">
        <v>1142</v>
      </c>
      <c r="L245" t="s">
        <v>533</v>
      </c>
      <c r="M245">
        <v>3</v>
      </c>
      <c r="N245">
        <v>126393103.2</v>
      </c>
      <c r="O245">
        <v>195781764</v>
      </c>
      <c r="P245">
        <v>194750387</v>
      </c>
      <c r="Q245">
        <v>1819386</v>
      </c>
      <c r="R245">
        <v>1.5489908787997799</v>
      </c>
      <c r="S245">
        <v>1.5408308053947599</v>
      </c>
      <c r="T245">
        <v>69.470196648759497</v>
      </c>
      <c r="U245">
        <v>6.9867097319765304E-3</v>
      </c>
      <c r="V245">
        <v>-11.9636486389483</v>
      </c>
      <c r="W245">
        <f t="shared" si="9"/>
        <v>1.0822349647653301E-2</v>
      </c>
      <c r="X245">
        <f t="shared" si="10"/>
        <v>1.1131543966596807E-2</v>
      </c>
      <c r="Y245">
        <f t="shared" si="11"/>
        <v>-0.71166249100541512</v>
      </c>
    </row>
    <row r="246" spans="11:25" x14ac:dyDescent="0.4">
      <c r="U246">
        <f>SUM(U3:U245)</f>
        <v>0.99999999999999911</v>
      </c>
      <c r="W246">
        <f>SUM(W3:W245)</f>
        <v>2.8112291756676484</v>
      </c>
      <c r="X246">
        <f>SQRT(SUM(X3:X245))</f>
        <v>1.7736473578713086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5%안날린거</vt:lpstr>
      <vt:lpstr>양끝5%날린거</vt:lpstr>
      <vt:lpstr>z_score&gt;0 vs z_score상위 30%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2017-04-21T07:19:15Z</dcterms:created>
  <dcterms:modified xsi:type="dcterms:W3CDTF">2017-05-08T06:42:51Z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74e4de7e-28ac-4038-8577-8789115a7cbf</vt:lpwstr>
  </property>
</Properties>
</file>